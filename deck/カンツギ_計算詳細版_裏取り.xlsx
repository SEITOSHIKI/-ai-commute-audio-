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時給" sheetId="3" state="visible" r:id="rId3"/>
    <sheet xmlns:r="http://schemas.openxmlformats.org/officeDocument/2006/relationships" name="お客様の効果" sheetId="4" state="visible" r:id="rId4"/>
    <sheet xmlns:r="http://schemas.openxmlformats.org/officeDocument/2006/relationships" name="値段と原価" sheetId="5" state="visible" r:id="rId5"/>
    <sheet xmlns:r="http://schemas.openxmlformats.org/officeDocument/2006/relationships" name="導入支援" sheetId="6" state="visible" r:id="rId6"/>
    <sheet xmlns:r="http://schemas.openxmlformats.org/officeDocument/2006/relationships" name="体制と人件費" sheetId="7" state="visible" r:id="rId7"/>
    <sheet xmlns:r="http://schemas.openxmlformats.org/officeDocument/2006/relationships" name="拠点と売上" sheetId="8" state="visible" r:id="rId8"/>
    <sheet xmlns:r="http://schemas.openxmlformats.org/officeDocument/2006/relationships" name="損益と現金" sheetId="9" state="visible" r:id="rId9"/>
    <sheet xmlns:r="http://schemas.openxmlformats.org/officeDocument/2006/relationships" name="黒字ライン" sheetId="10" state="visible" r:id="rId10"/>
    <sheet xmlns:r="http://schemas.openxmlformats.org/officeDocument/2006/relationships" name="LTV・CAC" sheetId="11" state="visible" r:id="rId11"/>
    <sheet xmlns:r="http://schemas.openxmlformats.org/officeDocument/2006/relationships" name="崩れたとき" sheetId="12" state="visible" r:id="rId12"/>
    <sheet xmlns:r="http://schemas.openxmlformats.org/officeDocument/2006/relationships" name="資金と黒字倒産" sheetId="13" state="visible" r:id="rId13"/>
    <sheet xmlns:r="http://schemas.openxmlformats.org/officeDocument/2006/relationships" name="市場規模" sheetId="14" state="visible" r:id="rId14"/>
    <sheet xmlns:r="http://schemas.openxmlformats.org/officeDocument/2006/relationships" name="照合" sheetId="15" state="visible" r:id="rId15"/>
  </sheets>
  <definedNames>
    <definedName name="_xlnm.Print_Titles" localSheetId="1">'前提'!$3:$3</definedName>
    <definedName name="_xlnm.Print_Titles" localSheetId="2">'時給'!$3:$3</definedName>
    <definedName name="_xlnm.Print_Titles" localSheetId="3">'お客様の効果'!$3:$3</definedName>
    <definedName name="_xlnm.Print_Titles" localSheetId="4">'値段と原価'!$3:$3</definedName>
    <definedName name="_xlnm.Print_Titles" localSheetId="5">'導入支援'!$3:$3</definedName>
    <definedName name="_xlnm.Print_Titles" localSheetId="6">'体制と人件費'!$3:$3</definedName>
    <definedName name="_xlnm.Print_Titles" localSheetId="7">'拠点と売上'!$3:$3</definedName>
    <definedName name="_xlnm.Print_Titles" localSheetId="8">'損益と現金'!$3:$3</definedName>
    <definedName name="_xlnm.Print_Titles" localSheetId="9">'黒字ライン'!$3:$3</definedName>
    <definedName name="_xlnm.Print_Titles" localSheetId="10">'LTV・CAC'!$3:$3</definedName>
    <definedName name="_xlnm.Print_Titles" localSheetId="11">'崩れたとき'!$3:$3</definedName>
    <definedName name="_xlnm.Print_Titles" localSheetId="12">'資金と黒字倒産'!$3:$3</definedName>
    <definedName name="_xlnm.Print_Titles" localSheetId="13">'市場規模'!$3:$3</definedName>
    <definedName name="_xlnm.Print_Titles" localSheetId="14">'照合'!$3:$3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#,##0;&quot;▲&quot;#,##0;0"/>
    <numFmt numFmtId="165" formatCode="#,##0.00;&quot;▲&quot;#,##0.00;0.00"/>
    <numFmt numFmtId="166" formatCode="#,##0.0;&quot;▲&quot;#,##0.0;0.0"/>
    <numFmt numFmtId="167" formatCode="0.0%;&quot;▲&quot;0.0%;0.0%"/>
    <numFmt numFmtId="168" formatCode="0%;&quot;▲&quot;0%;0%"/>
    <numFmt numFmtId="169" formatCode="#,##0.000;&quot;▲&quot;#,##0.000;0.000"/>
    <numFmt numFmtId="170" formatCode="0&quot;年目&quot;"/>
    <numFmt numFmtId="171" formatCode="#,##0.000000;&quot;▲&quot;#,##0.000000;0"/>
    <numFmt numFmtId="172" formatCode="#,##0.0000;&quot;▲&quot;#,##0.0000;0.0000"/>
    <numFmt numFmtId="173" formatCode="0&quot;日&quot;"/>
    <numFmt numFmtId="174" formatCode="0&quot;台&quot;"/>
    <numFmt numFmtId="175" formatCode="0&quot;年&quot;"/>
    <numFmt numFmtId="176" formatCode="0&quot;倍&quot;"/>
    <numFmt numFmtId="177" formatCode="0.00%;&quot;▲&quot;0.00%;0.00%"/>
    <numFmt numFmtId="178" formatCode="0.0E+00;-0.0E+00;0"/>
  </numFmts>
  <fonts count="17">
    <font>
      <name val="Calibri"/>
      <family val="2"/>
      <color theme="1"/>
      <sz val="11"/>
      <scheme val="minor"/>
    </font>
    <font>
      <name val="BIZ UDPゴシック"/>
      <b val="1"/>
      <color rgb="001B365D"/>
      <sz val="14"/>
    </font>
    <font>
      <name val="BIZ UDPゴシック"/>
      <color rgb="006B6B6B"/>
      <sz val="10"/>
    </font>
    <font>
      <name val="BIZ UDPゴシック"/>
      <b val="1"/>
      <color rgb="00FFFFFF"/>
      <sz val="10"/>
    </font>
    <font>
      <name val="BIZ UDPゴシック"/>
      <b val="1"/>
      <color rgb="001B365D"/>
      <sz val="10.5"/>
    </font>
    <font>
      <name val="BIZ UDPゴシック"/>
      <color rgb="00000000"/>
      <sz val="10"/>
    </font>
    <font>
      <name val="BIZ UDPゴシック"/>
      <color rgb="006B6B6B"/>
      <sz val="9"/>
    </font>
    <font>
      <name val="BIZ UDPゴシック"/>
      <color rgb="002F6DB5"/>
      <sz val="10"/>
    </font>
    <font>
      <name val="BIZ UDPゴシック"/>
      <b val="1"/>
      <color rgb="001B365D"/>
      <sz val="10"/>
    </font>
    <font>
      <name val="BIZ UDPゴシック"/>
      <b val="1"/>
      <color rgb="00000000"/>
      <sz val="10"/>
    </font>
    <font>
      <name val="BIZ UDPゴシック"/>
      <b val="1"/>
      <color rgb="001B365D"/>
      <sz val="11"/>
    </font>
    <font>
      <name val="BIZ UDPゴシック"/>
      <b val="1"/>
      <color rgb="00555555"/>
      <sz val="10"/>
    </font>
    <font>
      <name val="BIZ UDPゴシック"/>
      <color rgb="00555555"/>
      <sz val="10"/>
    </font>
    <font>
      <name val="BIZ UDPゴシック"/>
      <b val="1"/>
      <color rgb="00C62828"/>
      <sz val="10"/>
    </font>
    <font>
      <name val="BIZ UDPゴシック"/>
      <color rgb="00C62828"/>
      <sz val="10"/>
    </font>
    <font>
      <name val="BIZ UDPゴシック"/>
      <b val="1"/>
      <color rgb="002E7D32"/>
      <sz val="10"/>
    </font>
    <font>
      <name val="BIZ UDPゴシック"/>
      <b val="1"/>
      <color rgb="002F6DB5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EDF4"/>
      </patternFill>
    </fill>
  </fills>
  <borders count="3">
    <border>
      <left/>
      <right/>
      <top/>
      <bottom/>
      <diagonal/>
    </border>
    <border>
      <bottom style="thin">
        <color rgb="00C9D1DC"/>
      </bottom>
    </border>
    <border>
      <left/>
      <right/>
      <top/>
      <bottom style="thin">
        <color rgb="00C9D1D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vertical="center"/>
    </xf>
    <xf numFmtId="169" fontId="7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70" fontId="7" fillId="0" borderId="1" applyAlignment="1" pivotButton="0" quotePrefix="0" xfId="0">
      <alignment vertical="center"/>
    </xf>
    <xf numFmtId="168" fontId="5" fillId="0" borderId="1" applyAlignment="1" pivotButton="0" quotePrefix="0" xfId="0">
      <alignment vertical="center"/>
    </xf>
    <xf numFmtId="171" fontId="7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 indent="1"/>
    </xf>
    <xf numFmtId="166" fontId="5" fillId="0" borderId="1" applyAlignment="1" pivotButton="0" quotePrefix="0" xfId="0">
      <alignment horizontal="right" vertical="center"/>
    </xf>
    <xf numFmtId="172" fontId="9" fillId="0" borderId="1" applyAlignment="1" pivotButton="0" quotePrefix="0" xfId="0">
      <alignment horizontal="right" vertical="center"/>
    </xf>
    <xf numFmtId="172" fontId="5" fillId="0" borderId="1" applyAlignment="1" pivotButton="0" quotePrefix="0" xfId="0">
      <alignment horizontal="right" vertical="center"/>
    </xf>
    <xf numFmtId="173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74" fontId="9" fillId="0" borderId="1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70" fontId="3" fillId="2" borderId="0" applyAlignment="1" pivotButton="0" quotePrefix="0" xfId="0">
      <alignment horizontal="center" vertical="center" wrapText="1"/>
    </xf>
    <xf numFmtId="164" fontId="9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9" fontId="5" fillId="0" borderId="1" applyAlignment="1" pivotButton="0" quotePrefix="0" xfId="0">
      <alignment vertical="center"/>
    </xf>
    <xf numFmtId="166" fontId="9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70" fontId="2" fillId="0" borderId="1" applyAlignment="1" pivotButton="0" quotePrefix="0" xfId="0">
      <alignment vertical="center"/>
    </xf>
    <xf numFmtId="170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70" fontId="5" fillId="0" borderId="1" applyAlignment="1" pivotButton="0" quotePrefix="0" xfId="0">
      <alignment horizontal="right" vertical="center"/>
    </xf>
    <xf numFmtId="175" fontId="9" fillId="0" borderId="1" applyAlignment="1" pivotButton="0" quotePrefix="0" xfId="0">
      <alignment horizontal="left" vertical="center" wrapText="1"/>
    </xf>
    <xf numFmtId="176" fontId="9" fillId="0" borderId="1" applyAlignment="1" pivotButton="0" quotePrefix="0" xfId="0">
      <alignment horizontal="left" vertical="center" wrapText="1"/>
    </xf>
    <xf numFmtId="170" fontId="11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70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177" fontId="9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right" vertical="center"/>
    </xf>
    <xf numFmtId="178" fontId="5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72" fontId="12" fillId="0" borderId="1" applyAlignment="1" pivotButton="0" quotePrefix="0" xfId="0">
      <alignment horizontal="right" vertical="center"/>
    </xf>
    <xf numFmtId="177" fontId="5" fillId="0" borderId="1" applyAlignment="1" pivotButton="0" quotePrefix="0" xfId="0">
      <alignment horizontal="right" vertical="center"/>
    </xf>
    <xf numFmtId="177" fontId="12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color rgb="00C62828"/>
      </font>
    </dxf>
    <dxf>
      <font>
        <b val="1"/>
        <color rgb="002E7D32"/>
      </font>
    </dxf>
    <dxf>
      <font>
        <b val="1"/>
        <color rgb="00C62828"/>
      </font>
    </dxf>
    <dxf>
      <font>
        <b val="1"/>
        <color rgb="002E7D32"/>
      </font>
      <fill>
        <patternFill patternType="solid">
          <fgColor rgb="00E3F1E4"/>
          <bgColor rgb="00E3F1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6" customWidth="1" min="3" max="3"/>
    <col width="46" customWidth="1" min="4" max="4"/>
  </cols>
  <sheetData>
    <row r="1" ht="24" customHeight="1">
      <c r="A1" s="1" t="inlineStr">
        <is>
          <t>使い方：カンツギ 事業計画書「計算詳細版」の数字の裏取り</t>
        </is>
      </c>
    </row>
    <row r="2" ht="31" customHeight="1">
      <c r="A2" s="2" t="inlineStr">
        <is>
          <t>このブックは、計算詳細版の数字が計算モデル（deck/tora_v2.js）と同じ式で出ることを、すべての計算過程が追える形で示すためのもの。入力は「前提」だけにあり、他のシートはすべて式。最後の「照合」で、Excel の結果と tora_v2.js の値が一致することを確かめている。</t>
        </is>
      </c>
    </row>
    <row r="4" ht="19" customHeight="1">
      <c r="A4" s="3" t="inlineStr">
        <is>
          <t>シートの一覧</t>
        </is>
      </c>
      <c r="B4" s="4" t="n"/>
      <c r="C4" s="4" t="n"/>
      <c r="D4" s="4" t="n"/>
    </row>
    <row r="5" ht="30" customHeight="1">
      <c r="A5" s="5" t="inlineStr">
        <is>
          <t>シート</t>
        </is>
      </c>
      <c r="B5" s="5" t="inlineStr">
        <is>
          <t>中身</t>
        </is>
      </c>
      <c r="C5" s="5" t="inlineStr">
        <is>
          <t>計算詳細版のページ</t>
        </is>
      </c>
      <c r="D5" s="5" t="inlineStr">
        <is>
          <t>tora_v2.js の対応</t>
        </is>
      </c>
    </row>
    <row r="6" ht="31" customHeight="1">
      <c r="A6" s="6" t="inlineStr">
        <is>
          <t>前提</t>
        </is>
      </c>
      <c r="B6" s="7" t="inlineStr">
        <is>
          <t>入力をすべて集めた（青字）。確度と出典を付けた。年ごとの項目は1〜10年目</t>
        </is>
      </c>
      <c r="C6" s="8" t="inlineStr">
        <is>
          <t>p.4・16・17・32</t>
        </is>
      </c>
      <c r="D6" s="8" t="inlineStr">
        <is>
          <t>WAGE・PLAN・SAVE・CLOUD・SETUP_TASKS・ROLES・EXT・GROWTH・LOAD・RECRUIT_RATE・ADVISORS</t>
        </is>
      </c>
    </row>
    <row r="7" ht="17.5" customHeight="1">
      <c r="A7" s="6" t="inlineStr">
        <is>
          <t>時給</t>
        </is>
      </c>
      <c r="B7" s="7" t="inlineStr">
        <is>
          <t>職長・施工管理者の1時間の人件費＝年収×会社負担÷年間総実労働時間</t>
        </is>
      </c>
      <c r="C7" s="8" t="inlineStr">
        <is>
          <t>p.5</t>
        </is>
      </c>
      <c r="D7" s="8" t="inlineStr">
        <is>
          <t>H（hourly）</t>
        </is>
      </c>
    </row>
    <row r="8" ht="17.5" customHeight="1">
      <c r="A8" s="6" t="inlineStr">
        <is>
          <t>お客様の効果</t>
        </is>
      </c>
      <c r="B8" s="7" t="inlineStr">
        <is>
          <t>1台1日の効果、年の効果、支払い、倍率、元が取れる分、感度表、手戻り（参考）</t>
        </is>
      </c>
      <c r="C8" s="8" t="inlineStr">
        <is>
          <t>p.6・7・8</t>
        </is>
      </c>
      <c r="D8" s="8" t="inlineStr">
        <is>
          <t>customerValue()</t>
        </is>
      </c>
    </row>
    <row r="9" ht="31" customHeight="1">
      <c r="A9" s="6" t="inlineStr">
        <is>
          <t>値段と原価</t>
        </is>
      </c>
      <c r="B9" s="7" t="inlineStr">
        <is>
          <t>1拠点の売上、1台の原価の内訳と検算、粗利率、広い原価の粗利率、台数と使い方、追加料金の案</t>
        </is>
      </c>
      <c r="C9" s="8" t="inlineStr">
        <is>
          <t>p.9・10・11・12</t>
        </is>
      </c>
      <c r="D9" s="8" t="inlineStr">
        <is>
          <t>priceSite・CLOUD・cloudPerDevice・cogsSite・marginSite</t>
        </is>
      </c>
    </row>
    <row r="10" ht="17.5" customHeight="1">
      <c r="A10" s="6" t="inlineStr">
        <is>
          <t>導入支援</t>
        </is>
      </c>
      <c r="B10" s="7" t="inlineStr">
        <is>
          <t>6つの作業×人日、日額、原価・値段・粗利、お客様の1年目の支払い</t>
        </is>
      </c>
      <c r="C10" s="8" t="inlineStr">
        <is>
          <t>p.13</t>
        </is>
      </c>
      <c r="D10" s="8" t="inlineStr">
        <is>
          <t>SETUP_TASKS・setupDays・CSDAY・setupTravel</t>
        </is>
      </c>
    </row>
    <row r="11" ht="31" customHeight="1">
      <c r="A11" s="6" t="inlineStr">
        <is>
          <t>体制と人件費</t>
        </is>
      </c>
      <c r="B11" s="7" t="inlineStr">
        <is>
          <t>8つの役割の年収×人数、人件費、採用費、つまみの反映、導入コンサルタントの上限</t>
        </is>
      </c>
      <c r="C11" s="8" t="inlineStr">
        <is>
          <t>p.17</t>
        </is>
      </c>
      <c r="D11" s="8" t="inlineStr">
        <is>
          <t>ROLES・EXT.heads・team()</t>
        </is>
      </c>
    </row>
    <row r="12" ht="17.5" customHeight="1">
      <c r="A12" s="6" t="inlineStr">
        <is>
          <t>拠点と売上</t>
        </is>
      </c>
      <c r="B12" s="7" t="inlineStr">
        <is>
          <t>期首・解約・新規・期末、既存と新規の利用料、導入支援、個社設定、売上</t>
        </is>
      </c>
      <c r="C12" s="8" t="inlineStr">
        <is>
          <t>p.14・15</t>
        </is>
      </c>
      <c r="D12" s="8" t="inlineStr">
        <is>
          <t>run() の拠点と売上</t>
        </is>
      </c>
    </row>
    <row r="13" ht="31" customHeight="1">
      <c r="A13" s="6" t="inlineStr">
        <is>
          <t>損益と現金</t>
        </is>
      </c>
      <c r="B13" s="7" t="inlineStr">
        <is>
          <t>原価、粗利、販管費、営業利益、累計、現金。黒字化の年・累計回収の年・最低の現金</t>
        </is>
      </c>
      <c r="C13" s="8" t="inlineStr">
        <is>
          <t>p.3・18・30</t>
        </is>
      </c>
      <c r="D13" s="8" t="inlineStr">
        <is>
          <t>run() の損益と現金</t>
        </is>
      </c>
    </row>
    <row r="14" ht="17.5" customHeight="1">
      <c r="A14" s="6" t="inlineStr">
        <is>
          <t>黒字ライン</t>
        </is>
      </c>
      <c r="B14" s="7" t="inlineStr">
        <is>
          <t>損益分岐点売上、社員1人あたりの拠点、黒字に必要な拠点、5年目に要る台数</t>
        </is>
      </c>
      <c r="C14" s="8" t="inlineStr">
        <is>
          <t>p.19・22</t>
        </is>
      </c>
      <c r="D14" s="8" t="inlineStr">
        <is>
          <t>run() の bep・sitesPerStaff</t>
        </is>
      </c>
    </row>
    <row r="15" ht="17.5" customHeight="1">
      <c r="A15" s="6" t="inlineStr">
        <is>
          <t>LTV・CAC</t>
        </is>
      </c>
      <c r="B15" s="7" t="inlineStr">
        <is>
          <t>LTV（3・5・7・10年）、CAC、回収月数</t>
        </is>
      </c>
      <c r="C15" s="8" t="inlineStr">
        <is>
          <t>p.20</t>
        </is>
      </c>
      <c r="D15" s="8" t="inlineStr">
        <is>
          <t>unit()</t>
        </is>
      </c>
    </row>
    <row r="16" ht="31" customHeight="1">
      <c r="A16" s="6" t="inlineStr">
        <is>
          <t>崩れたとき</t>
        </is>
      </c>
      <c r="B16" s="7" t="inlineStr">
        <is>
          <t>前提を一つずつ崩した結果（tora_v2.js の値を貼った）と、Excel で再現する方法</t>
        </is>
      </c>
      <c r="C16" s="8" t="inlineStr">
        <is>
          <t>p.21・22</t>
        </is>
      </c>
      <c r="D16" s="8" t="inlineStr">
        <is>
          <t>run(o)・shortfall()</t>
        </is>
      </c>
    </row>
    <row r="17" ht="31" customHeight="1">
      <c r="A17" s="6" t="inlineStr">
        <is>
          <t>資金と黒字倒産</t>
        </is>
      </c>
      <c r="B17" s="7" t="inlineStr">
        <is>
          <t>資金投入と現金、黒字でも現金が尽きる場合（売掛・採用の先行・端末の先払い・急な拠点増・税と賞与）と備え</t>
        </is>
      </c>
      <c r="C17" s="8" t="inlineStr">
        <is>
          <t>p.23</t>
        </is>
      </c>
      <c r="D17" s="8" t="inlineStr">
        <is>
          <t>run() の cash</t>
        </is>
      </c>
    </row>
    <row r="18" ht="31" customHeight="1">
      <c r="A18" s="6" t="inlineStr">
        <is>
          <t>市場規模</t>
        </is>
      </c>
      <c r="B18" s="7" t="inlineStr">
        <is>
          <t>業種×規模の表、ターゲット市場 約141億円、SOM の漏斗、ライト版の上振れ（参考）</t>
        </is>
      </c>
      <c r="C18" s="8" t="inlineStr">
        <is>
          <t>p.24・25</t>
        </is>
      </c>
      <c r="D18" s="8" t="inlineStr">
        <is>
          <t>tora_market.js の SEG・SOM・estimate()</t>
        </is>
      </c>
    </row>
    <row r="19" ht="31" customHeight="1">
      <c r="A19" s="6" t="inlineStr">
        <is>
          <t>照合</t>
        </is>
      </c>
      <c r="B19" s="7" t="inlineStr">
        <is>
          <t>Excel の主な結果と tora_v2.js の値を並べ、差がゼロ（丸め誤差）であることを示す</t>
        </is>
      </c>
      <c r="C19" s="8" t="inlineStr">
        <is>
          <t>─</t>
        </is>
      </c>
      <c r="D19" s="8" t="inlineStr">
        <is>
          <t>node で出した値</t>
        </is>
      </c>
    </row>
    <row r="21" ht="19" customHeight="1">
      <c r="A21" s="3" t="inlineStr">
        <is>
          <t>色の見方</t>
        </is>
      </c>
      <c r="B21" s="4" t="n"/>
      <c r="C21" s="4" t="n"/>
      <c r="D21" s="4" t="n"/>
    </row>
    <row r="22" ht="17.5" customHeight="1">
      <c r="A22" s="9" t="inlineStr">
        <is>
          <t>青字</t>
        </is>
      </c>
      <c r="B22" s="7" t="inlineStr">
        <is>
          <t>入力。前提シートだけにある。ここを書き換えると全部のシートが計算し直される</t>
        </is>
      </c>
    </row>
    <row r="23" ht="17.5" customHeight="1">
      <c r="A23" s="10" t="inlineStr">
        <is>
          <t>黒字</t>
        </is>
      </c>
      <c r="B23" s="7" t="inlineStr">
        <is>
          <t>計算（式）</t>
        </is>
      </c>
    </row>
    <row r="24" ht="17.5" customHeight="1">
      <c r="A24" s="11" t="inlineStr">
        <is>
          <t>赤字（▲）</t>
        </is>
      </c>
      <c r="B24" s="7" t="inlineStr">
        <is>
          <t>マイナスの数字（赤字の金額など）</t>
        </is>
      </c>
    </row>
    <row r="25" ht="17.5" customHeight="1">
      <c r="A25" s="12" t="inlineStr">
        <is>
          <t>緑字</t>
        </is>
      </c>
      <c r="B25" s="7" t="inlineStr">
        <is>
          <t>黒字化の年。損益と現金の営業利益の行では、初めて黒字になる年を緑で示す</t>
        </is>
      </c>
    </row>
    <row r="26" ht="31" customHeight="1">
      <c r="A26" s="13" t="inlineStr">
        <is>
          <t>灰色の数字</t>
        </is>
      </c>
      <c r="B26" s="7" t="inlineStr">
        <is>
          <t>tora_v2.js を node で計算して貼った値（崩れたとき・照合の数字の列）。式ではない</t>
        </is>
      </c>
    </row>
    <row r="27" ht="17.5" customHeight="1">
      <c r="A27" s="14" t="inlineStr">
        <is>
          <t>紺の行</t>
        </is>
      </c>
      <c r="B27" s="7" t="inlineStr">
        <is>
          <t>見出し</t>
        </is>
      </c>
    </row>
    <row r="29" ht="19" customHeight="1">
      <c r="A29" s="3" t="inlineStr">
        <is>
          <t>確度の見方（前提シートの「確度」の列）</t>
        </is>
      </c>
      <c r="B29" s="4" t="n"/>
      <c r="C29" s="4" t="n"/>
      <c r="D29" s="4" t="n"/>
    </row>
    <row r="30" ht="31" customHeight="1">
      <c r="A30" s="10" t="inlineStr">
        <is>
          <t>統計</t>
        </is>
      </c>
      <c r="B30" s="7" t="inlineStr">
        <is>
          <t>国の統計（賃金構造基本統計調査、毎月勤労統計調査、建設業許可業者数調査など）</t>
        </is>
      </c>
    </row>
    <row r="31" ht="17.5" customHeight="1">
      <c r="A31" s="10" t="inlineStr">
        <is>
          <t>制度</t>
        </is>
      </c>
      <c r="B31" s="7" t="inlineStr">
        <is>
          <t>法律や保険料率など、制度で決まる値（社会保険料の会社負担、残業の割増）</t>
        </is>
      </c>
    </row>
    <row r="32" ht="17.5" customHeight="1">
      <c r="A32" s="10" t="inlineStr">
        <is>
          <t>公表</t>
        </is>
      </c>
      <c r="B32" s="7" t="inlineStr">
        <is>
          <t>メーカー・クラウド・AIの公表価格</t>
        </is>
      </c>
    </row>
    <row r="33" ht="17.5" customHeight="1">
      <c r="A33" s="10" t="inlineStr">
        <is>
          <t>見積</t>
        </is>
      </c>
      <c r="B33" s="7" t="inlineStr">
        <is>
          <t>社内の見積（値段、台数、人数、年収、経費など）</t>
        </is>
      </c>
    </row>
    <row r="34" ht="17.5" customHeight="1">
      <c r="A34" s="10" t="inlineStr">
        <is>
          <t>仮説</t>
        </is>
      </c>
      <c r="B34" s="7" t="inlineStr">
        <is>
          <t>実証で測るもの（削減時間、手戻りの削減、会える率・成約率など）</t>
        </is>
      </c>
    </row>
    <row r="35" ht="17.5" customHeight="1">
      <c r="A35" s="10" t="inlineStr">
        <is>
          <t>仮定</t>
        </is>
      </c>
      <c r="B35" s="7" t="inlineStr">
        <is>
          <t>計算のために置いた値（為替、シナリオのつまみ、参考の表の軸など）</t>
        </is>
      </c>
    </row>
    <row r="36" ht="31" customHeight="1">
      <c r="A36" s="10" t="inlineStr">
        <is>
          <t>換算</t>
        </is>
      </c>
      <c r="B36" s="7" t="inlineStr">
        <is>
          <t>単位の換算（60分＝1時間など）。前提ではないが、式の中に数字を書かないために置いた</t>
        </is>
      </c>
    </row>
    <row r="38" ht="19" customHeight="1">
      <c r="A38" s="3" t="inlineStr">
        <is>
          <t>決まりと注意</t>
        </is>
      </c>
      <c r="B38" s="4" t="n"/>
      <c r="C38" s="4" t="n"/>
      <c r="D38" s="4" t="n"/>
    </row>
    <row r="39" ht="17.5" customHeight="1">
      <c r="A39" s="15" t="inlineStr">
        <is>
          <t>・金額は、ことわりがなければ万円。各行に単位を書き、右の列に式（言葉）を書いた。</t>
        </is>
      </c>
    </row>
    <row r="40" ht="17.5" customHeight="1">
      <c r="A40" s="15" t="inlineStr">
        <is>
          <t>・前提のつまみ（8-1〜8-6）が初期値のとき、tora_v2.js の計画（run({years:10})）と一致する。5年目までの値は run()（5年）と同じ。</t>
        </is>
      </c>
    </row>
    <row r="41" ht="17.5" customHeight="1">
      <c r="A41" s="15" t="inlineStr">
        <is>
          <t>・つまみを変えれば、崩れたときのシナリオを Excel で再現できる（崩れたときシートの右の列）。</t>
        </is>
      </c>
    </row>
    <row r="42" ht="17.5" customHeight="1">
      <c r="A42" s="15" t="inlineStr">
        <is>
          <t>・このモデルは運転資本・税・償却を含まない簡易計算。</t>
        </is>
      </c>
    </row>
    <row r="43" ht="17.5" customHeight="1">
      <c r="A43" s="15" t="inlineStr">
        <is>
          <t>・元のファイル：deck/tora_v2.js（計算モデル）、deck/tora_market.js（市場規模）、deck/build_tora_detail.js（計算詳細版の作り）。モデルと資料のファイルは書き換えていない。</t>
        </is>
      </c>
    </row>
    <row r="44" ht="17.5" customHeight="1">
      <c r="A44" s="15" t="inlineStr">
        <is>
          <t>・フォントは BIZ UDPゴシック を指定している（無い環境では別のフォントで表示される）。PDF は BIZ UDPゴシック の無い環境で書き出したので IPA Pゴシック で表示している。</t>
        </is>
      </c>
    </row>
  </sheetData>
  <mergeCells count="7">
    <mergeCell ref="A40:D40"/>
    <mergeCell ref="A39:D39"/>
    <mergeCell ref="A43:D43"/>
    <mergeCell ref="A41:D41"/>
    <mergeCell ref="A2:D2"/>
    <mergeCell ref="A42:D42"/>
    <mergeCell ref="A44:D44"/>
  </mergeCells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64" customWidth="1" min="15" max="15"/>
  </cols>
  <sheetData>
    <row r="1" ht="24" customHeight="1">
      <c r="A1" s="1" t="inlineStr">
        <is>
          <t>前提：入力はこのシートだけ</t>
        </is>
      </c>
    </row>
    <row r="2" ht="31" customHeight="1">
      <c r="A2" s="2" t="inlineStr">
        <is>
          <t>青字＝入力（ここだけを書き換える）、黒字＝計算。他のシートはすべてこのシートを参照する式。年ごとの項目は「値」の列が1年目で、右へ2〜10年目。1〜5年目は tora_v2.js の ROLES・GROWTH、6〜10年目は EXT の値。確度：統計＝公的統計／制度＝法律・料率など制度で決まる値／公表＝メーカー・クラウドの公表価格／見積＝社内見積／仮説＝実証で測る／仮定＝計算のために置いた値／換算＝単位の換算。</t>
        </is>
      </c>
    </row>
    <row r="3" ht="30" customHeight="1">
      <c r="A3" s="5" t="inlineStr">
        <is>
          <t>番号</t>
        </is>
      </c>
      <c r="B3" s="5" t="inlineStr">
        <is>
          <t>項目</t>
        </is>
      </c>
      <c r="C3" s="5" t="inlineStr">
        <is>
          <t>単位</t>
        </is>
      </c>
      <c r="D3" s="5" t="inlineStr">
        <is>
          <t>確度</t>
        </is>
      </c>
      <c r="E3" s="5" t="inlineStr">
        <is>
          <t>値（年ごとは1年目）</t>
        </is>
      </c>
      <c r="F3" s="5" t="inlineStr">
        <is>
          <t>2年目</t>
        </is>
      </c>
      <c r="G3" s="5" t="inlineStr">
        <is>
          <t>3年目</t>
        </is>
      </c>
      <c r="H3" s="5" t="inlineStr">
        <is>
          <t>4年目</t>
        </is>
      </c>
      <c r="I3" s="5" t="inlineStr">
        <is>
          <t>5年目</t>
        </is>
      </c>
      <c r="J3" s="5" t="inlineStr">
        <is>
          <t>6年目</t>
        </is>
      </c>
      <c r="K3" s="5" t="inlineStr">
        <is>
          <t>7年目</t>
        </is>
      </c>
      <c r="L3" s="5" t="inlineStr">
        <is>
          <t>8年目</t>
        </is>
      </c>
      <c r="M3" s="5" t="inlineStr">
        <is>
          <t>9年目</t>
        </is>
      </c>
      <c r="N3" s="5" t="inlineStr">
        <is>
          <t>10年目</t>
        </is>
      </c>
      <c r="O3" s="5" t="inlineStr">
        <is>
          <t>出典・メモ</t>
        </is>
      </c>
    </row>
    <row r="4" ht="19" customHeight="1">
      <c r="A4" s="3" t="inlineStr">
        <is>
          <t>0. 単位の換算（前提ではなく、式の中に数字を書かないために置く）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7.5" customHeight="1">
      <c r="A5" s="16" t="inlineStr">
        <is>
          <t>0-1</t>
        </is>
      </c>
      <c r="B5" s="7" t="inlineStr">
        <is>
          <t>1時間の分</t>
        </is>
      </c>
      <c r="C5" s="8" t="inlineStr">
        <is>
          <t>分/時間</t>
        </is>
      </c>
      <c r="D5" s="17" t="inlineStr">
        <is>
          <t>換算</t>
        </is>
      </c>
      <c r="E5" s="18" t="n">
        <v>60</v>
      </c>
      <c r="O5" s="19" t="inlineStr"/>
    </row>
    <row r="6" ht="17.5" customHeight="1">
      <c r="A6" s="16" t="inlineStr">
        <is>
          <t>0-2</t>
        </is>
      </c>
      <c r="B6" s="7" t="inlineStr">
        <is>
          <t>1年の月数</t>
        </is>
      </c>
      <c r="C6" s="8" t="inlineStr">
        <is>
          <t>か月/年</t>
        </is>
      </c>
      <c r="D6" s="17" t="inlineStr">
        <is>
          <t>換算</t>
        </is>
      </c>
      <c r="E6" s="18" t="n">
        <v>12</v>
      </c>
      <c r="O6" s="19" t="inlineStr"/>
    </row>
    <row r="7" ht="17.5" customHeight="1">
      <c r="A7" s="16" t="inlineStr">
        <is>
          <t>0-3</t>
        </is>
      </c>
      <c r="B7" s="7" t="inlineStr">
        <is>
          <t>1万円の円</t>
        </is>
      </c>
      <c r="C7" s="8" t="inlineStr">
        <is>
          <t>円/万円</t>
        </is>
      </c>
      <c r="D7" s="17" t="inlineStr">
        <is>
          <t>換算</t>
        </is>
      </c>
      <c r="E7" s="18" t="n">
        <v>10000</v>
      </c>
      <c r="O7" s="19" t="inlineStr"/>
    </row>
    <row r="8" ht="17.5" customHeight="1">
      <c r="A8" s="16" t="inlineStr">
        <is>
          <t>0-4</t>
        </is>
      </c>
      <c r="B8" s="7" t="inlineStr">
        <is>
          <t>1年の日数</t>
        </is>
      </c>
      <c r="C8" s="8" t="inlineStr">
        <is>
          <t>日/年</t>
        </is>
      </c>
      <c r="D8" s="17" t="inlineStr">
        <is>
          <t>換算</t>
        </is>
      </c>
      <c r="E8" s="18" t="n">
        <v>365</v>
      </c>
      <c r="O8" s="19" t="inlineStr"/>
    </row>
    <row r="9" ht="17.5" customHeight="1">
      <c r="A9" s="16" t="inlineStr">
        <is>
          <t>0-5</t>
        </is>
      </c>
      <c r="B9" s="7" t="inlineStr">
        <is>
          <t>1億円の万円</t>
        </is>
      </c>
      <c r="C9" s="8" t="inlineStr">
        <is>
          <t>万円/億円</t>
        </is>
      </c>
      <c r="D9" s="17" t="inlineStr">
        <is>
          <t>換算</t>
        </is>
      </c>
      <c r="E9" s="18" t="n">
        <v>10000</v>
      </c>
      <c r="O9" s="19" t="inlineStr"/>
    </row>
    <row r="10" ht="17.5" customHeight="1">
      <c r="A10" s="16" t="inlineStr">
        <is>
          <t>0-6</t>
        </is>
      </c>
      <c r="B10" s="7" t="inlineStr">
        <is>
          <t>AIの単価の基準（100万トークン）</t>
        </is>
      </c>
      <c r="C10" s="8" t="inlineStr">
        <is>
          <t>トークン</t>
        </is>
      </c>
      <c r="D10" s="17" t="inlineStr">
        <is>
          <t>換算</t>
        </is>
      </c>
      <c r="E10" s="18" t="n">
        <v>1000000</v>
      </c>
      <c r="O10" s="19" t="inlineStr">
        <is>
          <t>AIの単価は100万トークンあたりのドルで書く</t>
        </is>
      </c>
    </row>
    <row r="11" ht="19" customHeight="1">
      <c r="A11" s="3" t="inlineStr">
        <is>
          <t>1. 時給（お客様の1時間の人件費）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44.5" customHeight="1">
      <c r="A12" s="16" t="inlineStr">
        <is>
          <t>1-1</t>
        </is>
      </c>
      <c r="B12" s="7" t="inlineStr">
        <is>
          <t>職長（電気工事従事者）の年収</t>
        </is>
      </c>
      <c r="C12" s="8" t="inlineStr">
        <is>
          <t>万円/年</t>
        </is>
      </c>
      <c r="D12" s="17" t="inlineStr">
        <is>
          <t>統計</t>
        </is>
      </c>
      <c r="E12" s="18" t="n">
        <v>551</v>
      </c>
      <c r="O12" s="19" t="inlineStr">
        <is>
          <t>厚生労働省「賃金構造基本統計調査」令和5年 電気工事従事者：きまって支給する給与 月36.74万円×12＋賞与等110.06万円＝550.94万円（残業代を含む）。令和6年も約548〜551万円</t>
        </is>
      </c>
    </row>
    <row r="13" ht="31" customHeight="1">
      <c r="A13" s="16" t="inlineStr">
        <is>
          <t>1-2</t>
        </is>
      </c>
      <c r="B13" s="7" t="inlineStr">
        <is>
          <t>施工管理者の年収</t>
        </is>
      </c>
      <c r="C13" s="8" t="inlineStr">
        <is>
          <t>万円/年</t>
        </is>
      </c>
      <c r="D13" s="17" t="inlineStr">
        <is>
          <t>統計</t>
        </is>
      </c>
      <c r="E13" s="18" t="n">
        <v>620</v>
      </c>
      <c r="O13" s="19" t="inlineStr">
        <is>
          <t>同調査で代用：建築技術者 約642万円（令和6年）と土木技術者 約604万円（令和5年）の間。施工管理技士は標本が少ないので使わない</t>
        </is>
      </c>
    </row>
    <row r="14" ht="31" customHeight="1">
      <c r="A14" s="16" t="inlineStr">
        <is>
          <t>1-3</t>
        </is>
      </c>
      <c r="B14" s="7" t="inlineStr">
        <is>
          <t>会社負担（社会保険料）を含める倍率</t>
        </is>
      </c>
      <c r="C14" s="8" t="inlineStr">
        <is>
          <t>倍</t>
        </is>
      </c>
      <c r="D14" s="17" t="inlineStr">
        <is>
          <t>制度</t>
        </is>
      </c>
      <c r="E14" s="20" t="n">
        <v>1.17</v>
      </c>
      <c r="O14" s="19" t="inlineStr">
        <is>
          <t>会社負担 約17%：健康保険 約5.0%＋厚生年金9.15%＋雇用保険（建設）1.1%＋子ども・子育て拠出金0.36%＋労災 約1.2%</t>
        </is>
      </c>
    </row>
    <row r="15" ht="31" customHeight="1">
      <c r="A15" s="16" t="inlineStr">
        <is>
          <t>1-4</t>
        </is>
      </c>
      <c r="B15" s="7" t="inlineStr">
        <is>
          <t>建設業の月の総実労働時間（残業を含む）</t>
        </is>
      </c>
      <c r="C15" s="8" t="inlineStr">
        <is>
          <t>時間/月</t>
        </is>
      </c>
      <c r="D15" s="17" t="inlineStr">
        <is>
          <t>統計</t>
        </is>
      </c>
      <c r="E15" s="21" t="n">
        <v>161.5</v>
      </c>
      <c r="O15" s="19" t="inlineStr">
        <is>
          <t>厚生労働省「毎月勤労統計調査」令和6年 建設業の総実労働時間（所定内＋所定外）</t>
        </is>
      </c>
    </row>
    <row r="16" ht="17.5" customHeight="1">
      <c r="A16" s="16" t="inlineStr">
        <is>
          <t>1-5</t>
        </is>
      </c>
      <c r="B16" s="7" t="inlineStr">
        <is>
          <t>年間総実労働時間</t>
        </is>
      </c>
      <c r="C16" s="8" t="inlineStr">
        <is>
          <t>時間/年</t>
        </is>
      </c>
      <c r="D16" s="17" t="inlineStr">
        <is>
          <t>統計</t>
        </is>
      </c>
      <c r="E16" s="22">
        <f>E15*$E$6</f>
        <v>1938</v>
      </c>
      <c r="O16" s="19" t="inlineStr">
        <is>
          <t>月161.5時間×12＝1,938時間（tora_v2.js の annualHours）</t>
        </is>
      </c>
    </row>
    <row r="17" ht="31" customHeight="1">
      <c r="A17" s="16" t="inlineStr">
        <is>
          <t>1-6</t>
        </is>
      </c>
      <c r="B17" s="7" t="inlineStr">
        <is>
          <t>残業の割増</t>
        </is>
      </c>
      <c r="C17" s="8" t="inlineStr">
        <is>
          <t>倍</t>
        </is>
      </c>
      <c r="D17" s="17" t="inlineStr">
        <is>
          <t>制度</t>
        </is>
      </c>
      <c r="E17" s="20" t="n">
        <v>1.25</v>
      </c>
      <c r="O17" s="19" t="inlineStr">
        <is>
          <t>労働基準法：時間外労働は25%以上の割増。参考の計算だけに使い、計画には入れない</t>
        </is>
      </c>
    </row>
    <row r="18" ht="17.5" customHeight="1">
      <c r="A18" s="16" t="inlineStr">
        <is>
          <t>1-7</t>
        </is>
      </c>
      <c r="B18" s="7" t="inlineStr">
        <is>
          <t>参考：所定の1日の時間</t>
        </is>
      </c>
      <c r="C18" s="8" t="inlineStr">
        <is>
          <t>時間/日</t>
        </is>
      </c>
      <c r="D18" s="17" t="inlineStr">
        <is>
          <t>仮定</t>
        </is>
      </c>
      <c r="E18" s="18" t="n">
        <v>8</v>
      </c>
      <c r="O18" s="19" t="inlineStr">
        <is>
          <t>所定の目安（1日8時間）。参考の比較だけに使う</t>
        </is>
      </c>
    </row>
    <row r="19" ht="31" customHeight="1">
      <c r="A19" s="16" t="inlineStr">
        <is>
          <t>1-8</t>
        </is>
      </c>
      <c r="B19" s="7" t="inlineStr">
        <is>
          <t>参考：所定の年の日数（目安）</t>
        </is>
      </c>
      <c r="C19" s="8" t="inlineStr">
        <is>
          <t>日/年</t>
        </is>
      </c>
      <c r="D19" s="17" t="inlineStr">
        <is>
          <t>仮定</t>
        </is>
      </c>
      <c r="E19" s="18" t="n">
        <v>244</v>
      </c>
      <c r="O19" s="19" t="inlineStr">
        <is>
          <t>所定の目安（年約244日）。8時間×244日＝1,952時間は所定の目安で、実績ではない</t>
        </is>
      </c>
    </row>
    <row r="20" ht="19" customHeight="1">
      <c r="A20" s="3" t="inlineStr">
        <is>
          <t>2. 端末と値段（1拠点）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17.5" customHeight="1">
      <c r="A21" s="16" t="inlineStr">
        <is>
          <t>2-1</t>
        </is>
      </c>
      <c r="B21" s="7" t="inlineStr">
        <is>
          <t>1拠点の台数</t>
        </is>
      </c>
      <c r="C21" s="8" t="inlineStr">
        <is>
          <t>台/拠点</t>
        </is>
      </c>
      <c r="D21" s="17" t="inlineStr">
        <is>
          <t>見積</t>
        </is>
      </c>
      <c r="E21" s="18" t="n">
        <v>10</v>
      </c>
      <c r="O21" s="19" t="inlineStr">
        <is>
          <t>1班に1台、職長が掛ける。5現場×2班（計算詳細版 p.10）</t>
        </is>
      </c>
    </row>
    <row r="22" ht="17.5" customHeight="1">
      <c r="A22" s="16" t="inlineStr">
        <is>
          <t>2-2</t>
        </is>
      </c>
      <c r="B22" s="7" t="inlineStr">
        <is>
          <t>端末を使う日数</t>
        </is>
      </c>
      <c r="C22" s="8" t="inlineStr">
        <is>
          <t>日/年</t>
        </is>
      </c>
      <c r="D22" s="17" t="inlineStr">
        <is>
          <t>見積</t>
        </is>
      </c>
      <c r="E22" s="18" t="n">
        <v>240</v>
      </c>
      <c r="O22" s="19" t="inlineStr">
        <is>
          <t>上限に近い想定。現場の稼働日数で減る</t>
        </is>
      </c>
    </row>
    <row r="23" ht="17.5" customHeight="1">
      <c r="A23" s="16" t="inlineStr">
        <is>
          <t>2-3</t>
        </is>
      </c>
      <c r="B23" s="7" t="inlineStr">
        <is>
          <t>基盤の利用料</t>
        </is>
      </c>
      <c r="C23" s="8" t="inlineStr">
        <is>
          <t>万円/年/拠点</t>
        </is>
      </c>
      <c r="D23" s="17" t="inlineStr">
        <is>
          <t>見積</t>
        </is>
      </c>
      <c r="E23" s="18" t="n">
        <v>60</v>
      </c>
      <c r="O23" s="19" t="inlineStr">
        <is>
          <t>月5万円×12</t>
        </is>
      </c>
    </row>
    <row r="24" ht="17.5" customHeight="1">
      <c r="A24" s="16" t="inlineStr">
        <is>
          <t>2-4</t>
        </is>
      </c>
      <c r="B24" s="7" t="inlineStr">
        <is>
          <t>端末ライセンス</t>
        </is>
      </c>
      <c r="C24" s="8" t="inlineStr">
        <is>
          <t>万円/年/台</t>
        </is>
      </c>
      <c r="D24" s="17" t="inlineStr">
        <is>
          <t>見積</t>
        </is>
      </c>
      <c r="E24" s="18" t="n">
        <v>24</v>
      </c>
      <c r="O24" s="19" t="inlineStr">
        <is>
          <t>月2万円×12。録画は端末に無制限、AIで解析する場面に月の上限</t>
        </is>
      </c>
    </row>
    <row r="25" ht="17.5" customHeight="1">
      <c r="A25" s="16" t="inlineStr">
        <is>
          <t>2-5</t>
        </is>
      </c>
      <c r="B25" s="7" t="inlineStr">
        <is>
          <t>導入支援（初年度のみ）</t>
        </is>
      </c>
      <c r="C25" s="8" t="inlineStr">
        <is>
          <t>万円/拠点</t>
        </is>
      </c>
      <c r="D25" s="17" t="inlineStr">
        <is>
          <t>見積</t>
        </is>
      </c>
      <c r="E25" s="18" t="n">
        <v>200</v>
      </c>
      <c r="O25" s="19" t="inlineStr">
        <is>
          <t>42人日の原価141万円の約1.4倍（他社の相場は未確認）</t>
        </is>
      </c>
    </row>
    <row r="26" ht="17.5" customHeight="1">
      <c r="A26" s="16" t="inlineStr">
        <is>
          <t>2-6</t>
        </is>
      </c>
      <c r="B26" s="7" t="inlineStr">
        <is>
          <t>カメラ付きAIグラスの本体</t>
        </is>
      </c>
      <c r="C26" s="8" t="inlineStr">
        <is>
          <t>万円/台</t>
        </is>
      </c>
      <c r="D26" s="17" t="inlineStr">
        <is>
          <t>公表</t>
        </is>
      </c>
      <c r="E26" s="18" t="n">
        <v>8</v>
      </c>
      <c r="O26" s="19" t="inlineStr">
        <is>
          <t>Ray-Ban Meta 7.4〜8.9万円</t>
        </is>
      </c>
    </row>
    <row r="27" ht="17.5" customHeight="1">
      <c r="A27" s="16" t="inlineStr">
        <is>
          <t>2-7</t>
        </is>
      </c>
      <c r="B27" s="7" t="inlineStr">
        <is>
          <t>表示付きARグラスの本体</t>
        </is>
      </c>
      <c r="C27" s="8" t="inlineStr">
        <is>
          <t>万円/台</t>
        </is>
      </c>
      <c r="D27" s="17" t="inlineStr">
        <is>
          <t>公表</t>
        </is>
      </c>
      <c r="E27" s="18" t="n">
        <v>12</v>
      </c>
      <c r="O27" s="19" t="inlineStr">
        <is>
          <t>Meta Ray-Ban Display $799</t>
        </is>
      </c>
    </row>
    <row r="28" ht="17.5" customHeight="1">
      <c r="A28" s="16" t="inlineStr">
        <is>
          <t>2-8</t>
        </is>
      </c>
      <c r="B28" s="7" t="inlineStr">
        <is>
          <t>リースの月額料率（3年リース）</t>
        </is>
      </c>
      <c r="C28" s="8" t="inlineStr">
        <is>
          <t>割合/月</t>
        </is>
      </c>
      <c r="D28" s="17" t="inlineStr">
        <is>
          <t>見積</t>
        </is>
      </c>
      <c r="E28" s="23" t="n">
        <v>0.03</v>
      </c>
      <c r="O28" s="19" t="inlineStr">
        <is>
          <t>3年リースの料率 約3%／月。リース会社の見積で確認する</t>
        </is>
      </c>
    </row>
    <row r="29" ht="17.5" customHeight="1">
      <c r="A29" s="16" t="inlineStr">
        <is>
          <t>2-9</t>
        </is>
      </c>
      <c r="B29" s="7" t="inlineStr">
        <is>
          <t>構成：カメラ付きAIグラス</t>
        </is>
      </c>
      <c r="C29" s="8" t="inlineStr">
        <is>
          <t>台/拠点</t>
        </is>
      </c>
      <c r="D29" s="17" t="inlineStr">
        <is>
          <t>見積</t>
        </is>
      </c>
      <c r="E29" s="18" t="n">
        <v>8</v>
      </c>
      <c r="O29" s="19" t="inlineStr">
        <is>
          <t>記録用</t>
        </is>
      </c>
    </row>
    <row r="30" ht="17.5" customHeight="1">
      <c r="A30" s="16" t="inlineStr">
        <is>
          <t>2-10</t>
        </is>
      </c>
      <c r="B30" s="7" t="inlineStr">
        <is>
          <t>構成：表示付きARグラス</t>
        </is>
      </c>
      <c r="C30" s="8" t="inlineStr">
        <is>
          <t>台/拠点</t>
        </is>
      </c>
      <c r="D30" s="17" t="inlineStr">
        <is>
          <t>見積</t>
        </is>
      </c>
      <c r="E30" s="18" t="n">
        <v>2</v>
      </c>
      <c r="O30" s="19" t="inlineStr">
        <is>
          <t>手元に図面を出す班</t>
        </is>
      </c>
    </row>
    <row r="31" ht="17.5" customHeight="1">
      <c r="A31" s="16" t="inlineStr">
        <is>
          <t>2-11</t>
        </is>
      </c>
      <c r="B31" s="7" t="inlineStr">
        <is>
          <t>リースの年額：カメラ付き</t>
        </is>
      </c>
      <c r="C31" s="8" t="inlineStr">
        <is>
          <t>万円/年/台</t>
        </is>
      </c>
      <c r="D31" s="17" t="inlineStr">
        <is>
          <t>公表</t>
        </is>
      </c>
      <c r="E31" s="24">
        <f>$E$26*$E$28*$E$6</f>
        <v>2.88</v>
      </c>
      <c r="O31" s="19" t="inlineStr">
        <is>
          <t>本体8万円×月額料率3%×12か月</t>
        </is>
      </c>
    </row>
    <row r="32" ht="17.5" customHeight="1">
      <c r="A32" s="16" t="inlineStr">
        <is>
          <t>2-12</t>
        </is>
      </c>
      <c r="B32" s="7" t="inlineStr">
        <is>
          <t>リースの年額：表示付き</t>
        </is>
      </c>
      <c r="C32" s="8" t="inlineStr">
        <is>
          <t>万円/年/台</t>
        </is>
      </c>
      <c r="D32" s="17" t="inlineStr">
        <is>
          <t>公表</t>
        </is>
      </c>
      <c r="E32" s="24">
        <f>$E$27*$E$28*$E$6</f>
        <v>4.32</v>
      </c>
      <c r="O32" s="19" t="inlineStr">
        <is>
          <t>本体12万円×月額料率3%×12か月</t>
        </is>
      </c>
    </row>
    <row r="33" ht="31" customHeight="1">
      <c r="A33" s="16" t="inlineStr">
        <is>
          <t>2-13</t>
        </is>
      </c>
      <c r="B33" s="7" t="inlineStr">
        <is>
          <t>構成の台数の合計（確認）</t>
        </is>
      </c>
      <c r="C33" s="8" t="inlineStr">
        <is>
          <t>台/拠点</t>
        </is>
      </c>
      <c r="D33" s="17" t="inlineStr">
        <is>
          <t>見積</t>
        </is>
      </c>
      <c r="E33" s="22">
        <f>$E$29+$E$30</f>
        <v>10</v>
      </c>
      <c r="O33" s="19" t="inlineStr">
        <is>
          <t>2-1の台数と同じであること。リースはお客様の支払いだけに効き、当社の売上・原価には入らない</t>
        </is>
      </c>
    </row>
    <row r="34" ht="19" customHeight="1">
      <c r="A34" s="3" t="inlineStr">
        <is>
          <t>3. 削減時間（1台1日）と手戻り（参考）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 ht="17.5" customHeight="1">
      <c r="A35" s="16" t="inlineStr">
        <is>
          <t>3-1</t>
        </is>
      </c>
      <c r="B35" s="7" t="inlineStr">
        <is>
          <t>職長の削減（日報・撮影・黒板）</t>
        </is>
      </c>
      <c r="C35" s="8" t="inlineStr">
        <is>
          <t>分/台/日</t>
        </is>
      </c>
      <c r="D35" s="25" t="inlineStr">
        <is>
          <t>仮説</t>
        </is>
      </c>
      <c r="E35" s="18" t="n">
        <v>15</v>
      </c>
      <c r="O35" s="19" t="inlineStr">
        <is>
          <t>実証で導入前2週間と導入後4週間を比べて測る</t>
        </is>
      </c>
    </row>
    <row r="36" ht="17.5" customHeight="1">
      <c r="A36" s="16" t="inlineStr">
        <is>
          <t>3-2</t>
        </is>
      </c>
      <c r="B36" s="7" t="inlineStr">
        <is>
          <t>施工管理者の削減（写真整理・写真台帳）</t>
        </is>
      </c>
      <c r="C36" s="8" t="inlineStr">
        <is>
          <t>分/台/日</t>
        </is>
      </c>
      <c r="D36" s="25" t="inlineStr">
        <is>
          <t>仮説</t>
        </is>
      </c>
      <c r="E36" s="18" t="n">
        <v>20</v>
      </c>
      <c r="O36" s="19" t="inlineStr">
        <is>
          <t>同上</t>
        </is>
      </c>
    </row>
    <row r="37" ht="17.5" customHeight="1">
      <c r="A37" s="16" t="inlineStr">
        <is>
          <t>3-3</t>
        </is>
      </c>
      <c r="B37" s="7" t="inlineStr">
        <is>
          <t>参考：お客様の完成工事高</t>
        </is>
      </c>
      <c r="C37" s="8" t="inlineStr">
        <is>
          <t>万円/年</t>
        </is>
      </c>
      <c r="D37" s="17" t="inlineStr">
        <is>
          <t>仮定</t>
        </is>
      </c>
      <c r="E37" s="18" t="n">
        <v>300000</v>
      </c>
      <c r="O37" s="19" t="inlineStr">
        <is>
          <t>中堅100人規模の目安30億円。計画に入れない</t>
        </is>
      </c>
    </row>
    <row r="38" ht="17.5" customHeight="1">
      <c r="A38" s="16" t="inlineStr">
        <is>
          <t>3-4</t>
        </is>
      </c>
      <c r="B38" s="7" t="inlineStr">
        <is>
          <t>参考：手戻りが工事費に占める割合</t>
        </is>
      </c>
      <c r="C38" s="8" t="inlineStr">
        <is>
          <t>割合</t>
        </is>
      </c>
      <c r="D38" s="17" t="inlineStr">
        <is>
          <t>仮定</t>
        </is>
      </c>
      <c r="E38" s="23" t="n">
        <v>0.02</v>
      </c>
      <c r="O38" s="19" t="inlineStr">
        <is>
          <t>海外研究の範囲0.4〜6%、RC造の事例1.85〜2.1%から控えめに</t>
        </is>
      </c>
    </row>
    <row r="39" ht="17.5" customHeight="1">
      <c r="A39" s="16" t="inlineStr">
        <is>
          <t>3-5</t>
        </is>
      </c>
      <c r="B39" s="7" t="inlineStr">
        <is>
          <t>参考：ARが効く対象工種の割合</t>
        </is>
      </c>
      <c r="C39" s="8" t="inlineStr">
        <is>
          <t>割合</t>
        </is>
      </c>
      <c r="D39" s="25" t="inlineStr">
        <is>
          <t>仮説</t>
        </is>
      </c>
      <c r="E39" s="26" t="n">
        <v>0.3</v>
      </c>
      <c r="O39" s="19" t="inlineStr"/>
    </row>
    <row r="40" ht="17.5" customHeight="1">
      <c r="A40" s="16" t="inlineStr">
        <is>
          <t>3-6</t>
        </is>
      </c>
      <c r="B40" s="7" t="inlineStr">
        <is>
          <t>参考：手戻りの削減率</t>
        </is>
      </c>
      <c r="C40" s="8" t="inlineStr">
        <is>
          <t>割合</t>
        </is>
      </c>
      <c r="D40" s="25" t="inlineStr">
        <is>
          <t>仮説</t>
        </is>
      </c>
      <c r="E40" s="26" t="n">
        <v>0.2</v>
      </c>
      <c r="O40" s="19" t="inlineStr"/>
    </row>
    <row r="41" ht="28" customHeight="1">
      <c r="A41" s="5" t="n"/>
      <c r="B41" s="5" t="inlineStr">
        <is>
          <t>感度表の軸</t>
        </is>
      </c>
      <c r="C41" s="5" t="n"/>
      <c r="D41" s="5" t="n"/>
      <c r="E41" s="5" t="inlineStr">
        <is>
          <t>1</t>
        </is>
      </c>
      <c r="F41" s="5" t="inlineStr">
        <is>
          <t>2</t>
        </is>
      </c>
      <c r="G41" s="5" t="inlineStr">
        <is>
          <t>3</t>
        </is>
      </c>
      <c r="H41" s="5" t="inlineStr">
        <is>
          <t>4</t>
        </is>
      </c>
      <c r="I41" s="5" t="n"/>
      <c r="J41" s="5" t="n"/>
      <c r="K41" s="5" t="n"/>
      <c r="L41" s="5" t="n"/>
      <c r="M41" s="5" t="n"/>
      <c r="N41" s="5" t="n"/>
      <c r="O41" s="5" t="n"/>
    </row>
    <row r="42" ht="17.5" customHeight="1">
      <c r="A42" s="16" t="inlineStr">
        <is>
          <t>3-7</t>
        </is>
      </c>
      <c r="B42" s="7" t="inlineStr">
        <is>
          <t>感度表：使う日数</t>
        </is>
      </c>
      <c r="C42" s="8" t="inlineStr">
        <is>
          <t>日/年</t>
        </is>
      </c>
      <c r="D42" s="17" t="inlineStr">
        <is>
          <t>見積</t>
        </is>
      </c>
      <c r="E42" s="18" t="n">
        <v>180</v>
      </c>
      <c r="F42" s="18" t="n">
        <v>200</v>
      </c>
      <c r="G42" s="18" t="n">
        <v>220</v>
      </c>
      <c r="H42" s="18" t="n">
        <v>240</v>
      </c>
      <c r="O42" s="19" t="inlineStr">
        <is>
          <t>240日は上限に近い。現場の稼働で減る場合を見る</t>
        </is>
      </c>
    </row>
    <row r="43" ht="31" customHeight="1">
      <c r="A43" s="16" t="inlineStr">
        <is>
          <t>3-8</t>
        </is>
      </c>
      <c r="B43" s="7" t="inlineStr">
        <is>
          <t>感度表：職長の削減（25分・35分・60分の内訳）</t>
        </is>
      </c>
      <c r="C43" s="8" t="inlineStr">
        <is>
          <t>分/台/日</t>
        </is>
      </c>
      <c r="D43" s="25" t="inlineStr">
        <is>
          <t>仮説</t>
        </is>
      </c>
      <c r="E43" s="18" t="n">
        <v>10</v>
      </c>
      <c r="F43" s="18" t="n">
        <v>15</v>
      </c>
      <c r="G43" s="18" t="n">
        <v>25</v>
      </c>
      <c r="O43" s="19" t="inlineStr">
        <is>
          <t>tora_v2.js の感度表と同じ内訳（10＋15、15＋20、25＋35）</t>
        </is>
      </c>
    </row>
    <row r="44" ht="17.5" customHeight="1">
      <c r="A44" s="16" t="inlineStr">
        <is>
          <t>3-9</t>
        </is>
      </c>
      <c r="B44" s="7" t="inlineStr">
        <is>
          <t>感度表：施工管理者の削減（同上）</t>
        </is>
      </c>
      <c r="C44" s="8" t="inlineStr">
        <is>
          <t>分/台/日</t>
        </is>
      </c>
      <c r="D44" s="25" t="inlineStr">
        <is>
          <t>仮説</t>
        </is>
      </c>
      <c r="E44" s="18" t="n">
        <v>15</v>
      </c>
      <c r="F44" s="18" t="n">
        <v>20</v>
      </c>
      <c r="G44" s="18" t="n">
        <v>35</v>
      </c>
      <c r="O44" s="19" t="inlineStr"/>
    </row>
    <row r="45" ht="19" customHeight="1">
      <c r="A45" s="3" t="inlineStr">
        <is>
          <t>4. AI・保存の原価（1台・月）とデータ基盤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 ht="17.5" customHeight="1">
      <c r="A46" s="16" t="inlineStr">
        <is>
          <t>4-1</t>
        </is>
      </c>
      <c r="B46" s="7" t="inlineStr">
        <is>
          <t>為替</t>
        </is>
      </c>
      <c r="C46" s="8" t="inlineStr">
        <is>
          <t>円/ドル</t>
        </is>
      </c>
      <c r="D46" s="17" t="inlineStr">
        <is>
          <t>仮定</t>
        </is>
      </c>
      <c r="E46" s="18" t="n">
        <v>150</v>
      </c>
      <c r="O46" s="19" t="inlineStr">
        <is>
          <t>$1＝150円</t>
        </is>
      </c>
    </row>
    <row r="47" ht="17.5" customHeight="1">
      <c r="A47" s="16" t="inlineStr">
        <is>
          <t>4-2</t>
        </is>
      </c>
      <c r="B47" s="7" t="inlineStr">
        <is>
          <t>1日の録画時間</t>
        </is>
      </c>
      <c r="C47" s="8" t="inlineStr">
        <is>
          <t>時間/日</t>
        </is>
      </c>
      <c r="D47" s="17" t="inlineStr">
        <is>
          <t>見積</t>
        </is>
      </c>
      <c r="E47" s="18" t="n">
        <v>4</v>
      </c>
      <c r="O47" s="19" t="inlineStr"/>
    </row>
    <row r="48" ht="17.5" customHeight="1">
      <c r="A48" s="16" t="inlineStr">
        <is>
          <t>4-3</t>
        </is>
      </c>
      <c r="B48" s="7" t="inlineStr">
        <is>
          <t>1か月の稼働日</t>
        </is>
      </c>
      <c r="C48" s="8" t="inlineStr">
        <is>
          <t>日/月</t>
        </is>
      </c>
      <c r="D48" s="17" t="inlineStr">
        <is>
          <t>見積</t>
        </is>
      </c>
      <c r="E48" s="18" t="n">
        <v>20</v>
      </c>
      <c r="O48" s="19" t="inlineStr"/>
    </row>
    <row r="49" ht="17.5" customHeight="1">
      <c r="A49" s="16" t="inlineStr">
        <is>
          <t>4-4</t>
        </is>
      </c>
      <c r="B49" s="7" t="inlineStr">
        <is>
          <t>音声の文字起こしの単価</t>
        </is>
      </c>
      <c r="C49" s="8" t="inlineStr">
        <is>
          <t>ドル/分</t>
        </is>
      </c>
      <c r="D49" s="17" t="inlineStr">
        <is>
          <t>公表</t>
        </is>
      </c>
      <c r="E49" s="27" t="n">
        <v>0.003</v>
      </c>
      <c r="O49" s="19" t="inlineStr">
        <is>
          <t>クラウドの文字起こしの公表単価の目安（多めに見た上限）</t>
        </is>
      </c>
    </row>
    <row r="50" ht="17.5" customHeight="1">
      <c r="A50" s="16" t="inlineStr">
        <is>
          <t>4-5</t>
        </is>
      </c>
      <c r="B50" s="7" t="inlineStr">
        <is>
          <t>大事な場面の画像</t>
        </is>
      </c>
      <c r="C50" s="8" t="inlineStr">
        <is>
          <t>枚/台/月</t>
        </is>
      </c>
      <c r="D50" s="17" t="inlineStr">
        <is>
          <t>見積</t>
        </is>
      </c>
      <c r="E50" s="18" t="n">
        <v>3000</v>
      </c>
      <c r="O50" s="19" t="inlineStr">
        <is>
          <t>録画は端末に全部残し、選んだ場面だけを送る</t>
        </is>
      </c>
    </row>
    <row r="51" ht="17.5" customHeight="1">
      <c r="A51" s="16" t="inlineStr">
        <is>
          <t>4-6</t>
        </is>
      </c>
      <c r="B51" s="7" t="inlineStr">
        <is>
          <t>モデルの置き方：画像1枚のトークン</t>
        </is>
      </c>
      <c r="C51" s="8" t="inlineStr">
        <is>
          <t>トークン/枚</t>
        </is>
      </c>
      <c r="D51" s="17" t="inlineStr">
        <is>
          <t>仮定</t>
        </is>
      </c>
      <c r="E51" s="18" t="n">
        <v>1000</v>
      </c>
      <c r="O51" s="19" t="inlineStr">
        <is>
          <t>tora_v2.js の CLOUD.vision（3,000枚×約1,000トークンで月1,000円）</t>
        </is>
      </c>
    </row>
    <row r="52" ht="17.5" customHeight="1">
      <c r="A52" s="16" t="inlineStr">
        <is>
          <t>4-7</t>
        </is>
      </c>
      <c r="B52" s="7" t="inlineStr">
        <is>
          <t>画像の幅</t>
        </is>
      </c>
      <c r="C52" s="8" t="inlineStr">
        <is>
          <t>ピクセル</t>
        </is>
      </c>
      <c r="D52" s="17" t="inlineStr">
        <is>
          <t>公表</t>
        </is>
      </c>
      <c r="E52" s="18" t="n">
        <v>1280</v>
      </c>
      <c r="O52" s="19" t="inlineStr">
        <is>
          <t>開発者向けの映像は720p（計算詳細版 p.26）</t>
        </is>
      </c>
    </row>
    <row r="53" ht="17.5" customHeight="1">
      <c r="A53" s="16" t="inlineStr">
        <is>
          <t>4-8</t>
        </is>
      </c>
      <c r="B53" s="7" t="inlineStr">
        <is>
          <t>画像の高さ</t>
        </is>
      </c>
      <c r="C53" s="8" t="inlineStr">
        <is>
          <t>ピクセル</t>
        </is>
      </c>
      <c r="D53" s="17" t="inlineStr">
        <is>
          <t>公表</t>
        </is>
      </c>
      <c r="E53" s="18" t="n">
        <v>720</v>
      </c>
      <c r="O53" s="19" t="inlineStr"/>
    </row>
    <row r="54" ht="31" customHeight="1">
      <c r="A54" s="16" t="inlineStr">
        <is>
          <t>4-9</t>
        </is>
      </c>
      <c r="B54" s="7" t="inlineStr">
        <is>
          <t>画像のトークン数の換算（幅×高さ÷この値）</t>
        </is>
      </c>
      <c r="C54" s="8" t="inlineStr">
        <is>
          <t>ピクセル/トークン</t>
        </is>
      </c>
      <c r="D54" s="17" t="inlineStr">
        <is>
          <t>公表</t>
        </is>
      </c>
      <c r="E54" s="18" t="n">
        <v>750</v>
      </c>
      <c r="O54" s="19" t="inlineStr">
        <is>
          <t>Claude の画像のトークン数の目安＝幅×高さ÷750</t>
        </is>
      </c>
    </row>
    <row r="55" ht="17.5" customHeight="1">
      <c r="A55" s="16" t="inlineStr">
        <is>
          <t>4-10</t>
        </is>
      </c>
      <c r="B55" s="7" t="inlineStr">
        <is>
          <t>画像1枚あたりの指示文</t>
        </is>
      </c>
      <c r="C55" s="8" t="inlineStr">
        <is>
          <t>トークン/枚</t>
        </is>
      </c>
      <c r="D55" s="17" t="inlineStr">
        <is>
          <t>見積</t>
        </is>
      </c>
      <c r="E55" s="18" t="n">
        <v>300</v>
      </c>
      <c r="O55" s="19" t="inlineStr"/>
    </row>
    <row r="56" ht="17.5" customHeight="1">
      <c r="A56" s="16" t="inlineStr">
        <is>
          <t>4-11</t>
        </is>
      </c>
      <c r="B56" s="7" t="inlineStr">
        <is>
          <t>画像1枚あたりの出力</t>
        </is>
      </c>
      <c r="C56" s="8" t="inlineStr">
        <is>
          <t>トークン/枚</t>
        </is>
      </c>
      <c r="D56" s="17" t="inlineStr">
        <is>
          <t>見積</t>
        </is>
      </c>
      <c r="E56" s="18" t="n">
        <v>150</v>
      </c>
      <c r="O56" s="19" t="inlineStr"/>
    </row>
    <row r="57" ht="31" customHeight="1">
      <c r="A57" s="16" t="inlineStr">
        <is>
          <t>4-12</t>
        </is>
      </c>
      <c r="B57" s="7" t="inlineStr">
        <is>
          <t>Claude Haiku 5.5 の入力単価</t>
        </is>
      </c>
      <c r="C57" s="8" t="inlineStr">
        <is>
          <t>ドル/100万トークン</t>
        </is>
      </c>
      <c r="D57" s="17" t="inlineStr">
        <is>
          <t>公表</t>
        </is>
      </c>
      <c r="E57" s="20" t="n">
        <v>0.1</v>
      </c>
      <c r="O57" s="19" t="inlineStr">
        <is>
          <t>Anthropic の API 価格（10万トークン以下の要求）</t>
        </is>
      </c>
    </row>
    <row r="58" ht="31" customHeight="1">
      <c r="A58" s="16" t="inlineStr">
        <is>
          <t>4-13</t>
        </is>
      </c>
      <c r="B58" s="7" t="inlineStr">
        <is>
          <t>Claude Haiku 5.5 の出力単価</t>
        </is>
      </c>
      <c r="C58" s="8" t="inlineStr">
        <is>
          <t>ドル/100万トークン</t>
        </is>
      </c>
      <c r="D58" s="17" t="inlineStr">
        <is>
          <t>公表</t>
        </is>
      </c>
      <c r="E58" s="20" t="n">
        <v>0.5</v>
      </c>
      <c r="O58" s="19" t="inlineStr">
        <is>
          <t>同上</t>
        </is>
      </c>
    </row>
    <row r="59" ht="31" customHeight="1">
      <c r="A59" s="16" t="inlineStr">
        <is>
          <t>4-14</t>
        </is>
      </c>
      <c r="B59" s="7" t="inlineStr">
        <is>
          <t>Claude Sonnet 5.5 の入力単価</t>
        </is>
      </c>
      <c r="C59" s="8" t="inlineStr">
        <is>
          <t>ドル/100万トークン</t>
        </is>
      </c>
      <c r="D59" s="17" t="inlineStr">
        <is>
          <t>公表</t>
        </is>
      </c>
      <c r="E59" s="20" t="n">
        <v>2</v>
      </c>
      <c r="O59" s="19" t="inlineStr">
        <is>
          <t>Anthropic の API 価格</t>
        </is>
      </c>
    </row>
    <row r="60" ht="31" customHeight="1">
      <c r="A60" s="16" t="inlineStr">
        <is>
          <t>4-15</t>
        </is>
      </c>
      <c r="B60" s="7" t="inlineStr">
        <is>
          <t>Claude Sonnet 5.5 の出力単価</t>
        </is>
      </c>
      <c r="C60" s="8" t="inlineStr">
        <is>
          <t>ドル/100万トークン</t>
        </is>
      </c>
      <c r="D60" s="17" t="inlineStr">
        <is>
          <t>公表</t>
        </is>
      </c>
      <c r="E60" s="20" t="n">
        <v>10</v>
      </c>
      <c r="O60" s="19" t="inlineStr">
        <is>
          <t>同上</t>
        </is>
      </c>
    </row>
    <row r="61" ht="17.5" customHeight="1">
      <c r="A61" s="16" t="inlineStr">
        <is>
          <t>4-16</t>
        </is>
      </c>
      <c r="B61" s="7" t="inlineStr">
        <is>
          <t>報告書の件数</t>
        </is>
      </c>
      <c r="C61" s="8" t="inlineStr">
        <is>
          <t>件/台/日</t>
        </is>
      </c>
      <c r="D61" s="17" t="inlineStr">
        <is>
          <t>見積</t>
        </is>
      </c>
      <c r="E61" s="18" t="n">
        <v>1</v>
      </c>
      <c r="O61" s="19" t="inlineStr">
        <is>
          <t>1日1件</t>
        </is>
      </c>
    </row>
    <row r="62" ht="17.5" customHeight="1">
      <c r="A62" s="16" t="inlineStr">
        <is>
          <t>4-17</t>
        </is>
      </c>
      <c r="B62" s="7" t="inlineStr">
        <is>
          <t>報告書1件の入力</t>
        </is>
      </c>
      <c r="C62" s="8" t="inlineStr">
        <is>
          <t>トークン/件</t>
        </is>
      </c>
      <c r="D62" s="17" t="inlineStr">
        <is>
          <t>見積</t>
        </is>
      </c>
      <c r="E62" s="18" t="n">
        <v>20000</v>
      </c>
      <c r="O62" s="19" t="inlineStr">
        <is>
          <t>Sonnet 5.5 で作るとして検算する</t>
        </is>
      </c>
    </row>
    <row r="63" ht="17.5" customHeight="1">
      <c r="A63" s="16" t="inlineStr">
        <is>
          <t>4-18</t>
        </is>
      </c>
      <c r="B63" s="7" t="inlineStr">
        <is>
          <t>報告書1件の出力</t>
        </is>
      </c>
      <c r="C63" s="8" t="inlineStr">
        <is>
          <t>トークン/件</t>
        </is>
      </c>
      <c r="D63" s="17" t="inlineStr">
        <is>
          <t>見積</t>
        </is>
      </c>
      <c r="E63" s="18" t="n">
        <v>2000</v>
      </c>
      <c r="O63" s="19" t="inlineStr"/>
    </row>
    <row r="64" ht="17.5" customHeight="1">
      <c r="A64" s="16" t="inlineStr">
        <is>
          <t>4-19</t>
        </is>
      </c>
      <c r="B64" s="7" t="inlineStr">
        <is>
          <t>クラウドへ送る切り出し動画</t>
        </is>
      </c>
      <c r="C64" s="8" t="inlineStr">
        <is>
          <t>GB/台/月</t>
        </is>
      </c>
      <c r="D64" s="17" t="inlineStr">
        <is>
          <t>見積</t>
        </is>
      </c>
      <c r="E64" s="18" t="n">
        <v>10</v>
      </c>
      <c r="O64" s="19" t="inlineStr">
        <is>
          <t>1日4時間の録画そのものは端末に残し、送らない</t>
        </is>
      </c>
    </row>
    <row r="65" ht="17.5" customHeight="1">
      <c r="A65" s="16" t="inlineStr">
        <is>
          <t>4-20</t>
        </is>
      </c>
      <c r="B65" s="7" t="inlineStr">
        <is>
          <t>クラウドの保存期間</t>
        </is>
      </c>
      <c r="C65" s="8" t="inlineStr">
        <is>
          <t>か月</t>
        </is>
      </c>
      <c r="D65" s="17" t="inlineStr">
        <is>
          <t>見積</t>
        </is>
      </c>
      <c r="E65" s="18" t="n">
        <v>36</v>
      </c>
      <c r="O65" s="19" t="inlineStr">
        <is>
          <t>3年保存</t>
        </is>
      </c>
    </row>
    <row r="66" ht="17.5" customHeight="1">
      <c r="A66" s="16" t="inlineStr">
        <is>
          <t>4-21</t>
        </is>
      </c>
      <c r="B66" s="7" t="inlineStr">
        <is>
          <t>保存の単価（Amazon S3 相当）</t>
        </is>
      </c>
      <c r="C66" s="8" t="inlineStr">
        <is>
          <t>ドル/GB・月</t>
        </is>
      </c>
      <c r="D66" s="17" t="inlineStr">
        <is>
          <t>公表</t>
        </is>
      </c>
      <c r="E66" s="27" t="n">
        <v>0.025</v>
      </c>
      <c r="O66" s="19" t="inlineStr"/>
    </row>
    <row r="67" ht="17.5" customHeight="1">
      <c r="A67" s="16" t="inlineStr">
        <is>
          <t>4-22</t>
        </is>
      </c>
      <c r="B67" s="7" t="inlineStr">
        <is>
          <t>モデルの値：音声の文字起こし</t>
        </is>
      </c>
      <c r="C67" s="8" t="inlineStr">
        <is>
          <t>円/台/月</t>
        </is>
      </c>
      <c r="D67" s="17" t="inlineStr">
        <is>
          <t>見積</t>
        </is>
      </c>
      <c r="E67" s="18" t="n">
        <v>2200</v>
      </c>
      <c r="O67" s="19" t="inlineStr">
        <is>
          <t>tora_v2.js CLOUD.transcribe</t>
        </is>
      </c>
    </row>
    <row r="68" ht="17.5" customHeight="1">
      <c r="A68" s="16" t="inlineStr">
        <is>
          <t>4-23</t>
        </is>
      </c>
      <c r="B68" s="7" t="inlineStr">
        <is>
          <t>モデルの値：画像解析</t>
        </is>
      </c>
      <c r="C68" s="8" t="inlineStr">
        <is>
          <t>円/台/月</t>
        </is>
      </c>
      <c r="D68" s="17" t="inlineStr">
        <is>
          <t>見積</t>
        </is>
      </c>
      <c r="E68" s="18" t="n">
        <v>1000</v>
      </c>
      <c r="O68" s="19" t="inlineStr">
        <is>
          <t>tora_v2.js CLOUD.vision</t>
        </is>
      </c>
    </row>
    <row r="69" ht="17.5" customHeight="1">
      <c r="A69" s="16" t="inlineStr">
        <is>
          <t>4-24</t>
        </is>
      </c>
      <c r="B69" s="7" t="inlineStr">
        <is>
          <t>モデルの値：報告書の生成</t>
        </is>
      </c>
      <c r="C69" s="8" t="inlineStr">
        <is>
          <t>円/台/月</t>
        </is>
      </c>
      <c r="D69" s="17" t="inlineStr">
        <is>
          <t>見積</t>
        </is>
      </c>
      <c r="E69" s="18" t="n">
        <v>200</v>
      </c>
      <c r="O69" s="19" t="inlineStr">
        <is>
          <t>tora_v2.js CLOUD.report</t>
        </is>
      </c>
    </row>
    <row r="70" ht="17.5" customHeight="1">
      <c r="A70" s="16" t="inlineStr">
        <is>
          <t>4-25</t>
        </is>
      </c>
      <c r="B70" s="7" t="inlineStr">
        <is>
          <t>モデルの値：動画の保存</t>
        </is>
      </c>
      <c r="C70" s="8" t="inlineStr">
        <is>
          <t>円/台/月</t>
        </is>
      </c>
      <c r="D70" s="17" t="inlineStr">
        <is>
          <t>見積</t>
        </is>
      </c>
      <c r="E70" s="18" t="n">
        <v>700</v>
      </c>
      <c r="O70" s="19" t="inlineStr">
        <is>
          <t>tora_v2.js CLOUD.storage（3年間の平均で置いた値）</t>
        </is>
      </c>
    </row>
    <row r="71" ht="31" customHeight="1">
      <c r="A71" s="16" t="inlineStr">
        <is>
          <t>4-26</t>
        </is>
      </c>
      <c r="B71" s="7" t="inlineStr">
        <is>
          <t>モデルの値：転送・監視・バックアップ・端末管理（MDM）・余裕</t>
        </is>
      </c>
      <c r="C71" s="8" t="inlineStr">
        <is>
          <t>円/台/月</t>
        </is>
      </c>
      <c r="D71" s="17" t="inlineStr">
        <is>
          <t>見積</t>
        </is>
      </c>
      <c r="E71" s="18" t="n">
        <v>1900</v>
      </c>
      <c r="O71" s="19" t="inlineStr">
        <is>
          <t>tora_v2.js CLOUD.ops</t>
        </is>
      </c>
    </row>
    <row r="72" ht="31" customHeight="1">
      <c r="A72" s="16" t="inlineStr">
        <is>
          <t>4-27</t>
        </is>
      </c>
      <c r="B72" s="7" t="inlineStr">
        <is>
          <t>全編を送り毎秒解析した場合の原価</t>
        </is>
      </c>
      <c r="C72" s="8" t="inlineStr">
        <is>
          <t>円/台/月</t>
        </is>
      </c>
      <c r="D72" s="17" t="inlineStr">
        <is>
          <t>見積</t>
        </is>
      </c>
      <c r="E72" s="18" t="n">
        <v>50000</v>
      </c>
      <c r="O72" s="19" t="inlineStr">
        <is>
          <t>tora_v2.js FULL_UPLOAD_PER_DEVICE（5万円×12）。動画1日4時間・毎秒1枚の解析と保存</t>
        </is>
      </c>
    </row>
    <row r="73" ht="17.5" customHeight="1">
      <c r="A73" s="16" t="inlineStr">
        <is>
          <t>4-28</t>
        </is>
      </c>
      <c r="B73" s="7" t="inlineStr">
        <is>
          <t>データ基盤（会社ごとの保管庫）</t>
        </is>
      </c>
      <c r="C73" s="8" t="inlineStr">
        <is>
          <t>万円/月/拠点</t>
        </is>
      </c>
      <c r="D73" s="17" t="inlineStr">
        <is>
          <t>見積</t>
        </is>
      </c>
      <c r="E73" s="18" t="n">
        <v>1</v>
      </c>
      <c r="O73" s="19" t="inlineStr">
        <is>
          <t>tora_v2.js siteInfra（年12万円）</t>
        </is>
      </c>
    </row>
    <row r="74" ht="17.5" customHeight="1">
      <c r="A74" s="16" t="inlineStr">
        <is>
          <t>4-29</t>
        </is>
      </c>
      <c r="B74" s="7" t="inlineStr">
        <is>
          <t>データ基盤の年額</t>
        </is>
      </c>
      <c r="C74" s="8" t="inlineStr">
        <is>
          <t>万円/年/拠点</t>
        </is>
      </c>
      <c r="D74" s="17" t="inlineStr">
        <is>
          <t>見積</t>
        </is>
      </c>
      <c r="E74" s="22">
        <f>E73*$E$6</f>
        <v>12</v>
      </c>
      <c r="O74" s="19" t="inlineStr">
        <is>
          <t>月1万円×12</t>
        </is>
      </c>
    </row>
    <row r="75" ht="17.5" customHeight="1">
      <c r="A75" s="16" t="inlineStr">
        <is>
          <t>4-30</t>
        </is>
      </c>
      <c r="B75" s="7" t="inlineStr">
        <is>
          <t>追加料金＝原価の何倍か</t>
        </is>
      </c>
      <c r="C75" s="8" t="inlineStr">
        <is>
          <t>倍</t>
        </is>
      </c>
      <c r="D75" s="17" t="inlineStr">
        <is>
          <t>仮定</t>
        </is>
      </c>
      <c r="E75" s="18" t="n">
        <v>3</v>
      </c>
      <c r="O75" s="19" t="inlineStr">
        <is>
          <t>解析量のプラン案（参考）だけに使う</t>
        </is>
      </c>
    </row>
    <row r="76" ht="17.5" customHeight="1">
      <c r="A76" s="16" t="inlineStr">
        <is>
          <t>4-31</t>
        </is>
      </c>
      <c r="B76" s="7" t="inlineStr">
        <is>
          <t>追加の単位：画像</t>
        </is>
      </c>
      <c r="C76" s="8" t="inlineStr">
        <is>
          <t>枚</t>
        </is>
      </c>
      <c r="D76" s="17" t="inlineStr">
        <is>
          <t>仮定</t>
        </is>
      </c>
      <c r="E76" s="18" t="n">
        <v>1000</v>
      </c>
      <c r="O76" s="19" t="inlineStr"/>
    </row>
    <row r="77" ht="17.5" customHeight="1">
      <c r="A77" s="16" t="inlineStr">
        <is>
          <t>4-32</t>
        </is>
      </c>
      <c r="B77" s="7" t="inlineStr">
        <is>
          <t>追加の単位：保存</t>
        </is>
      </c>
      <c r="C77" s="8" t="inlineStr">
        <is>
          <t>GB/台/月</t>
        </is>
      </c>
      <c r="D77" s="17" t="inlineStr">
        <is>
          <t>仮定</t>
        </is>
      </c>
      <c r="E77" s="18" t="n">
        <v>10</v>
      </c>
      <c r="O77" s="19" t="inlineStr"/>
    </row>
    <row r="78" ht="17.5" customHeight="1">
      <c r="A78" s="16" t="inlineStr">
        <is>
          <t>4-33</t>
        </is>
      </c>
      <c r="B78" s="7" t="inlineStr">
        <is>
          <t>追加料金の丸めの単位</t>
        </is>
      </c>
      <c r="C78" s="8" t="inlineStr">
        <is>
          <t>円</t>
        </is>
      </c>
      <c r="D78" s="17" t="inlineStr">
        <is>
          <t>仮定</t>
        </is>
      </c>
      <c r="E78" s="18" t="n">
        <v>1000</v>
      </c>
      <c r="O78" s="19" t="inlineStr"/>
    </row>
    <row r="79" ht="28" customHeight="1">
      <c r="A79" s="5" t="n"/>
      <c r="B79" s="5" t="inlineStr">
        <is>
          <t>粗利率の表の軸</t>
        </is>
      </c>
      <c r="C79" s="5" t="n"/>
      <c r="D79" s="5" t="n"/>
      <c r="E79" s="5" t="inlineStr">
        <is>
          <t>1</t>
        </is>
      </c>
      <c r="F79" s="5" t="inlineStr">
        <is>
          <t>2</t>
        </is>
      </c>
      <c r="G79" s="5" t="inlineStr">
        <is>
          <t>3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</row>
    <row r="80" ht="17.5" customHeight="1">
      <c r="A80" s="16" t="inlineStr">
        <is>
          <t>4-34</t>
        </is>
      </c>
      <c r="B80" s="7" t="inlineStr">
        <is>
          <t>粗利率の表：1拠点の台数</t>
        </is>
      </c>
      <c r="C80" s="8" t="inlineStr">
        <is>
          <t>台/拠点</t>
        </is>
      </c>
      <c r="D80" s="17" t="inlineStr">
        <is>
          <t>仮定</t>
        </is>
      </c>
      <c r="E80" s="18" t="n">
        <v>5</v>
      </c>
      <c r="F80" s="18" t="n">
        <v>10</v>
      </c>
      <c r="G80" s="18" t="n">
        <v>25</v>
      </c>
      <c r="O80" s="19" t="inlineStr">
        <is>
          <t>計算詳細版 p.12</t>
        </is>
      </c>
    </row>
    <row r="81" ht="19" customHeight="1">
      <c r="A81" s="3" t="inlineStr">
        <is>
          <t>5. 導入支援の作業（1拠点）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 ht="17.5" customHeight="1">
      <c r="A82" s="16" t="inlineStr">
        <is>
          <t>5-1</t>
        </is>
      </c>
      <c r="B82" s="7" t="inlineStr">
        <is>
          <t>現状調査・業務の流れの整理</t>
        </is>
      </c>
      <c r="C82" s="8" t="inlineStr">
        <is>
          <t>人日/拠点</t>
        </is>
      </c>
      <c r="D82" s="17" t="inlineStr">
        <is>
          <t>見積</t>
        </is>
      </c>
      <c r="E82" s="18" t="n">
        <v>5</v>
      </c>
      <c r="O82" s="19" t="inlineStr">
        <is>
          <t>tora_v2.js SETUP_TASKS</t>
        </is>
      </c>
    </row>
    <row r="83" ht="17.5" customHeight="1">
      <c r="A83" s="16" t="inlineStr">
        <is>
          <t>5-2</t>
        </is>
      </c>
      <c r="B83" s="7" t="inlineStr">
        <is>
          <t>端末の設定・アカウント・端末管理</t>
        </is>
      </c>
      <c r="C83" s="8" t="inlineStr">
        <is>
          <t>人日/拠点</t>
        </is>
      </c>
      <c r="D83" s="17" t="inlineStr">
        <is>
          <t>見積</t>
        </is>
      </c>
      <c r="E83" s="18" t="n">
        <v>3</v>
      </c>
      <c r="O83" s="19" t="inlineStr">
        <is>
          <t>tora_v2.js SETUP_TASKS</t>
        </is>
      </c>
    </row>
    <row r="84" ht="17.5" customHeight="1">
      <c r="A84" s="16" t="inlineStr">
        <is>
          <t>5-3</t>
        </is>
      </c>
      <c r="B84" s="7" t="inlineStr">
        <is>
          <t>図面・手順・報告書の型の登録</t>
        </is>
      </c>
      <c r="C84" s="8" t="inlineStr">
        <is>
          <t>人日/拠点</t>
        </is>
      </c>
      <c r="D84" s="17" t="inlineStr">
        <is>
          <t>見積</t>
        </is>
      </c>
      <c r="E84" s="18" t="n">
        <v>10</v>
      </c>
      <c r="O84" s="19" t="inlineStr">
        <is>
          <t>tora_v2.js SETUP_TASKS</t>
        </is>
      </c>
    </row>
    <row r="85" ht="17.5" customHeight="1">
      <c r="A85" s="16" t="inlineStr">
        <is>
          <t>5-4</t>
        </is>
      </c>
      <c r="B85" s="7" t="inlineStr">
        <is>
          <t>職長・施工管理者への研修（2回）</t>
        </is>
      </c>
      <c r="C85" s="8" t="inlineStr">
        <is>
          <t>人日/拠点</t>
        </is>
      </c>
      <c r="D85" s="17" t="inlineStr">
        <is>
          <t>見積</t>
        </is>
      </c>
      <c r="E85" s="18" t="n">
        <v>4</v>
      </c>
      <c r="O85" s="19" t="inlineStr">
        <is>
          <t>tora_v2.js SETUP_TASKS</t>
        </is>
      </c>
    </row>
    <row r="86" ht="17.5" customHeight="1">
      <c r="A86" s="16" t="inlineStr">
        <is>
          <t>5-5</t>
        </is>
      </c>
      <c r="B86" s="7" t="inlineStr">
        <is>
          <t>現場での立ち会い・初期の手直し（週2日×8週）</t>
        </is>
      </c>
      <c r="C86" s="8" t="inlineStr">
        <is>
          <t>人日/拠点</t>
        </is>
      </c>
      <c r="D86" s="17" t="inlineStr">
        <is>
          <t>見積</t>
        </is>
      </c>
      <c r="E86" s="18" t="n">
        <v>16</v>
      </c>
      <c r="O86" s="19" t="inlineStr">
        <is>
          <t>tora_v2.js SETUP_TASKS</t>
        </is>
      </c>
    </row>
    <row r="87" ht="17.5" customHeight="1">
      <c r="A87" s="16" t="inlineStr">
        <is>
          <t>5-6</t>
        </is>
      </c>
      <c r="B87" s="7" t="inlineStr">
        <is>
          <t>導入前後の効果測定レポート</t>
        </is>
      </c>
      <c r="C87" s="8" t="inlineStr">
        <is>
          <t>人日/拠点</t>
        </is>
      </c>
      <c r="D87" s="17" t="inlineStr">
        <is>
          <t>見積</t>
        </is>
      </c>
      <c r="E87" s="18" t="n">
        <v>4</v>
      </c>
      <c r="O87" s="19" t="inlineStr">
        <is>
          <t>tora_v2.js SETUP_TASKS</t>
        </is>
      </c>
    </row>
    <row r="88" ht="17.5" customHeight="1">
      <c r="A88" s="16" t="inlineStr">
        <is>
          <t>5-7</t>
        </is>
      </c>
      <c r="B88" s="7" t="inlineStr">
        <is>
          <t>導入支援の交通費</t>
        </is>
      </c>
      <c r="C88" s="8" t="inlineStr">
        <is>
          <t>万円/拠点</t>
        </is>
      </c>
      <c r="D88" s="17" t="inlineStr">
        <is>
          <t>見積</t>
        </is>
      </c>
      <c r="E88" s="18" t="n">
        <v>15</v>
      </c>
      <c r="O88" s="19" t="inlineStr">
        <is>
          <t>16回訪問×約1万円</t>
        </is>
      </c>
    </row>
    <row r="89" ht="17.5" customHeight="1">
      <c r="A89" s="16" t="inlineStr">
        <is>
          <t>5-8</t>
        </is>
      </c>
      <c r="B89" s="7" t="inlineStr">
        <is>
          <t>導入コンサルタントの年間稼働日</t>
        </is>
      </c>
      <c r="C89" s="8" t="inlineStr">
        <is>
          <t>日/年</t>
        </is>
      </c>
      <c r="D89" s="17" t="inlineStr">
        <is>
          <t>見積</t>
        </is>
      </c>
      <c r="E89" s="18" t="n">
        <v>240</v>
      </c>
      <c r="O89" s="19" t="inlineStr">
        <is>
          <t>日額＝年収600万円×1.2÷240日（tora_v2.js CSDAY）</t>
        </is>
      </c>
    </row>
    <row r="90" ht="17.5" customHeight="1">
      <c r="A90" s="16" t="inlineStr">
        <is>
          <t>5-9</t>
        </is>
      </c>
      <c r="B90" s="7" t="inlineStr">
        <is>
          <t>導入コンサルタント1人が回せる新規拠点</t>
        </is>
      </c>
      <c r="C90" s="8" t="inlineStr">
        <is>
          <t>拠点/人/年</t>
        </is>
      </c>
      <c r="D90" s="17" t="inlineStr">
        <is>
          <t>見積</t>
        </is>
      </c>
      <c r="E90" s="18" t="n">
        <v>6</v>
      </c>
      <c r="O90" s="19" t="inlineStr">
        <is>
          <t>2か月で1拠点（tora_v2.js GROWTH.newSites の注）</t>
        </is>
      </c>
    </row>
    <row r="91" ht="19" customHeight="1">
      <c r="A91" s="3" t="inlineStr">
        <is>
          <t>6. 体制（年収と期末の人数。1〜5年目＝ROLES、6〜10年目＝EXT.heads）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 ht="28" customHeight="1">
      <c r="A92" s="5" t="n"/>
      <c r="B92" s="5" t="inlineStr">
        <is>
          <t>役割</t>
        </is>
      </c>
      <c r="C92" s="5" t="n"/>
      <c r="D92" s="5" t="n"/>
      <c r="E92" s="5" t="inlineStr">
        <is>
          <t>1年目</t>
        </is>
      </c>
      <c r="F92" s="5" t="inlineStr">
        <is>
          <t>2年目</t>
        </is>
      </c>
      <c r="G92" s="5" t="inlineStr">
        <is>
          <t>3年目</t>
        </is>
      </c>
      <c r="H92" s="5" t="inlineStr">
        <is>
          <t>4年目</t>
        </is>
      </c>
      <c r="I92" s="5" t="inlineStr">
        <is>
          <t>5年目</t>
        </is>
      </c>
      <c r="J92" s="5" t="inlineStr">
        <is>
          <t>6年目</t>
        </is>
      </c>
      <c r="K92" s="5" t="inlineStr">
        <is>
          <t>7年目</t>
        </is>
      </c>
      <c r="L92" s="5" t="inlineStr">
        <is>
          <t>8年目</t>
        </is>
      </c>
      <c r="M92" s="5" t="inlineStr">
        <is>
          <t>9年目</t>
        </is>
      </c>
      <c r="N92" s="5" t="inlineStr">
        <is>
          <t>10年目</t>
        </is>
      </c>
      <c r="O92" s="5" t="n"/>
    </row>
    <row r="93" ht="17.5" customHeight="1">
      <c r="A93" s="16" t="inlineStr">
        <is>
          <t>6-1</t>
        </is>
      </c>
      <c r="B93" s="7" t="inlineStr">
        <is>
          <t>年収：代表（創業者）</t>
        </is>
      </c>
      <c r="C93" s="8" t="inlineStr">
        <is>
          <t>万円/年</t>
        </is>
      </c>
      <c r="D93" s="17" t="inlineStr">
        <is>
          <t>見積</t>
        </is>
      </c>
      <c r="E93" s="18" t="n">
        <v>480</v>
      </c>
      <c r="F93" s="18" t="n">
        <v>600</v>
      </c>
      <c r="G93" s="18" t="n">
        <v>720</v>
      </c>
      <c r="H93" s="18" t="n">
        <v>720</v>
      </c>
      <c r="I93" s="18" t="n">
        <v>720</v>
      </c>
      <c r="J93" s="22">
        <f>I93</f>
        <v>720</v>
      </c>
      <c r="K93" s="22">
        <f>J93</f>
        <v>720</v>
      </c>
      <c r="L93" s="22">
        <f>K93</f>
        <v>720</v>
      </c>
      <c r="M93" s="22">
        <f>L93</f>
        <v>720</v>
      </c>
      <c r="N93" s="22">
        <f>M93</f>
        <v>720</v>
      </c>
      <c r="O93" s="19" t="inlineStr">
        <is>
          <t>見積。段階的に上げ、6年目以降は5年目と同じ</t>
        </is>
      </c>
    </row>
    <row r="94" ht="17.5" customHeight="1">
      <c r="A94" s="16" t="inlineStr">
        <is>
          <t>6-2</t>
        </is>
      </c>
      <c r="B94" s="7" t="inlineStr">
        <is>
          <t>年収：CTO</t>
        </is>
      </c>
      <c r="C94" s="8" t="inlineStr">
        <is>
          <t>万円/年</t>
        </is>
      </c>
      <c r="D94" s="17" t="inlineStr">
        <is>
          <t>見積</t>
        </is>
      </c>
      <c r="E94" s="18" t="n">
        <v>1000</v>
      </c>
      <c r="F94" s="22">
        <f>E94</f>
        <v>1000</v>
      </c>
      <c r="G94" s="22">
        <f>F94</f>
        <v>1000</v>
      </c>
      <c r="H94" s="22">
        <f>G94</f>
        <v>1000</v>
      </c>
      <c r="I94" s="22">
        <f>H94</f>
        <v>1000</v>
      </c>
      <c r="J94" s="22">
        <f>I94</f>
        <v>1000</v>
      </c>
      <c r="K94" s="22">
        <f>J94</f>
        <v>1000</v>
      </c>
      <c r="L94" s="22">
        <f>K94</f>
        <v>1000</v>
      </c>
      <c r="M94" s="22">
        <f>L94</f>
        <v>1000</v>
      </c>
      <c r="N94" s="22">
        <f>M94</f>
        <v>1000</v>
      </c>
      <c r="O94" s="19" t="inlineStr">
        <is>
          <t>見積（相場は要確認）。2年目以降は前の年を参照</t>
        </is>
      </c>
    </row>
    <row r="95" ht="17.5" customHeight="1">
      <c r="A95" s="16" t="inlineStr">
        <is>
          <t>6-3</t>
        </is>
      </c>
      <c r="B95" s="7" t="inlineStr">
        <is>
          <t>年収：エンジニア</t>
        </is>
      </c>
      <c r="C95" s="8" t="inlineStr">
        <is>
          <t>万円/年</t>
        </is>
      </c>
      <c r="D95" s="17" t="inlineStr">
        <is>
          <t>見積</t>
        </is>
      </c>
      <c r="E95" s="18" t="n">
        <v>800</v>
      </c>
      <c r="F95" s="22">
        <f>E95</f>
        <v>800</v>
      </c>
      <c r="G95" s="22">
        <f>F95</f>
        <v>800</v>
      </c>
      <c r="H95" s="22">
        <f>G95</f>
        <v>800</v>
      </c>
      <c r="I95" s="22">
        <f>H95</f>
        <v>800</v>
      </c>
      <c r="J95" s="22">
        <f>I95</f>
        <v>800</v>
      </c>
      <c r="K95" s="22">
        <f>J95</f>
        <v>800</v>
      </c>
      <c r="L95" s="22">
        <f>K95</f>
        <v>800</v>
      </c>
      <c r="M95" s="22">
        <f>L95</f>
        <v>800</v>
      </c>
      <c r="N95" s="22">
        <f>M95</f>
        <v>800</v>
      </c>
      <c r="O95" s="19" t="inlineStr">
        <is>
          <t>見積（相場は要確認）。2年目以降は前の年を参照</t>
        </is>
      </c>
    </row>
    <row r="96" ht="17.5" customHeight="1">
      <c r="A96" s="16" t="inlineStr">
        <is>
          <t>6-4</t>
        </is>
      </c>
      <c r="B96" s="7" t="inlineStr">
        <is>
          <t>年収：現場監修（施工管理経験者）</t>
        </is>
      </c>
      <c r="C96" s="8" t="inlineStr">
        <is>
          <t>万円/年</t>
        </is>
      </c>
      <c r="D96" s="17" t="inlineStr">
        <is>
          <t>見積</t>
        </is>
      </c>
      <c r="E96" s="18" t="n">
        <v>650</v>
      </c>
      <c r="F96" s="22">
        <f>E96</f>
        <v>650</v>
      </c>
      <c r="G96" s="22">
        <f>F96</f>
        <v>650</v>
      </c>
      <c r="H96" s="22">
        <f>G96</f>
        <v>650</v>
      </c>
      <c r="I96" s="22">
        <f>H96</f>
        <v>650</v>
      </c>
      <c r="J96" s="22">
        <f>I96</f>
        <v>650</v>
      </c>
      <c r="K96" s="22">
        <f>J96</f>
        <v>650</v>
      </c>
      <c r="L96" s="22">
        <f>K96</f>
        <v>650</v>
      </c>
      <c r="M96" s="22">
        <f>L96</f>
        <v>650</v>
      </c>
      <c r="N96" s="22">
        <f>M96</f>
        <v>650</v>
      </c>
      <c r="O96" s="19" t="inlineStr">
        <is>
          <t>見積（相場は要確認）。2年目以降は前の年を参照</t>
        </is>
      </c>
    </row>
    <row r="97" ht="17.5" customHeight="1">
      <c r="A97" s="16" t="inlineStr">
        <is>
          <t>6-5</t>
        </is>
      </c>
      <c r="B97" s="7" t="inlineStr">
        <is>
          <t>年収：導入コンサルタント</t>
        </is>
      </c>
      <c r="C97" s="8" t="inlineStr">
        <is>
          <t>万円/年</t>
        </is>
      </c>
      <c r="D97" s="17" t="inlineStr">
        <is>
          <t>見積</t>
        </is>
      </c>
      <c r="E97" s="18" t="n">
        <v>600</v>
      </c>
      <c r="F97" s="22">
        <f>E97</f>
        <v>600</v>
      </c>
      <c r="G97" s="22">
        <f>F97</f>
        <v>600</v>
      </c>
      <c r="H97" s="22">
        <f>G97</f>
        <v>600</v>
      </c>
      <c r="I97" s="22">
        <f>H97</f>
        <v>600</v>
      </c>
      <c r="J97" s="22">
        <f>I97</f>
        <v>600</v>
      </c>
      <c r="K97" s="22">
        <f>J97</f>
        <v>600</v>
      </c>
      <c r="L97" s="22">
        <f>K97</f>
        <v>600</v>
      </c>
      <c r="M97" s="22">
        <f>L97</f>
        <v>600</v>
      </c>
      <c r="N97" s="22">
        <f>M97</f>
        <v>600</v>
      </c>
      <c r="O97" s="19" t="inlineStr">
        <is>
          <t>見積（相場は要確認）。2年目以降は前の年を参照</t>
        </is>
      </c>
    </row>
    <row r="98" ht="17.5" customHeight="1">
      <c r="A98" s="16" t="inlineStr">
        <is>
          <t>6-6</t>
        </is>
      </c>
      <c r="B98" s="7" t="inlineStr">
        <is>
          <t>年収：営業（技術営業）</t>
        </is>
      </c>
      <c r="C98" s="8" t="inlineStr">
        <is>
          <t>万円/年</t>
        </is>
      </c>
      <c r="D98" s="17" t="inlineStr">
        <is>
          <t>見積</t>
        </is>
      </c>
      <c r="E98" s="18" t="n">
        <v>650</v>
      </c>
      <c r="F98" s="22">
        <f>E98</f>
        <v>650</v>
      </c>
      <c r="G98" s="22">
        <f>F98</f>
        <v>650</v>
      </c>
      <c r="H98" s="22">
        <f>G98</f>
        <v>650</v>
      </c>
      <c r="I98" s="22">
        <f>H98</f>
        <v>650</v>
      </c>
      <c r="J98" s="22">
        <f>I98</f>
        <v>650</v>
      </c>
      <c r="K98" s="22">
        <f>J98</f>
        <v>650</v>
      </c>
      <c r="L98" s="22">
        <f>K98</f>
        <v>650</v>
      </c>
      <c r="M98" s="22">
        <f>L98</f>
        <v>650</v>
      </c>
      <c r="N98" s="22">
        <f>M98</f>
        <v>650</v>
      </c>
      <c r="O98" s="19" t="inlineStr">
        <is>
          <t>見積（相場は要確認）。2年目以降は前の年を参照</t>
        </is>
      </c>
    </row>
    <row r="99" ht="17.5" customHeight="1">
      <c r="A99" s="16" t="inlineStr">
        <is>
          <t>6-7</t>
        </is>
      </c>
      <c r="B99" s="7" t="inlineStr">
        <is>
          <t>年収：管理（人事・経理・総務）</t>
        </is>
      </c>
      <c r="C99" s="8" t="inlineStr">
        <is>
          <t>万円/年</t>
        </is>
      </c>
      <c r="D99" s="17" t="inlineStr">
        <is>
          <t>見積</t>
        </is>
      </c>
      <c r="E99" s="18" t="n">
        <v>550</v>
      </c>
      <c r="F99" s="22">
        <f>E99</f>
        <v>550</v>
      </c>
      <c r="G99" s="22">
        <f>F99</f>
        <v>550</v>
      </c>
      <c r="H99" s="22">
        <f>G99</f>
        <v>550</v>
      </c>
      <c r="I99" s="22">
        <f>H99</f>
        <v>550</v>
      </c>
      <c r="J99" s="22">
        <f>I99</f>
        <v>550</v>
      </c>
      <c r="K99" s="22">
        <f>J99</f>
        <v>550</v>
      </c>
      <c r="L99" s="22">
        <f>K99</f>
        <v>550</v>
      </c>
      <c r="M99" s="22">
        <f>L99</f>
        <v>550</v>
      </c>
      <c r="N99" s="22">
        <f>M99</f>
        <v>550</v>
      </c>
      <c r="O99" s="19" t="inlineStr">
        <is>
          <t>見積（相場は要確認）。2年目以降は前の年を参照</t>
        </is>
      </c>
    </row>
    <row r="100" ht="17.5" customHeight="1">
      <c r="A100" s="16" t="inlineStr">
        <is>
          <t>6-8</t>
        </is>
      </c>
      <c r="B100" s="7" t="inlineStr">
        <is>
          <t>年収：戦略企画</t>
        </is>
      </c>
      <c r="C100" s="8" t="inlineStr">
        <is>
          <t>万円/年</t>
        </is>
      </c>
      <c r="D100" s="17" t="inlineStr">
        <is>
          <t>見積</t>
        </is>
      </c>
      <c r="E100" s="18" t="n">
        <v>700</v>
      </c>
      <c r="F100" s="22">
        <f>E100</f>
        <v>700</v>
      </c>
      <c r="G100" s="22">
        <f>F100</f>
        <v>700</v>
      </c>
      <c r="H100" s="22">
        <f>G100</f>
        <v>700</v>
      </c>
      <c r="I100" s="22">
        <f>H100</f>
        <v>700</v>
      </c>
      <c r="J100" s="22">
        <f>I100</f>
        <v>700</v>
      </c>
      <c r="K100" s="22">
        <f>J100</f>
        <v>700</v>
      </c>
      <c r="L100" s="22">
        <f>K100</f>
        <v>700</v>
      </c>
      <c r="M100" s="22">
        <f>L100</f>
        <v>700</v>
      </c>
      <c r="N100" s="22">
        <f>M100</f>
        <v>700</v>
      </c>
      <c r="O100" s="19" t="inlineStr">
        <is>
          <t>見積（相場は要確認）。2年目以降は前の年を参照</t>
        </is>
      </c>
    </row>
    <row r="101" ht="17.5" customHeight="1">
      <c r="A101" s="16" t="inlineStr">
        <is>
          <t>6-9</t>
        </is>
      </c>
      <c r="B101" s="7" t="inlineStr">
        <is>
          <t>人数：代表（創業者）</t>
        </is>
      </c>
      <c r="C101" s="8" t="inlineStr">
        <is>
          <t>人（期末）</t>
        </is>
      </c>
      <c r="D101" s="17" t="inlineStr">
        <is>
          <t>見積</t>
        </is>
      </c>
      <c r="E101" s="18" t="n">
        <v>1</v>
      </c>
      <c r="F101" s="18" t="n">
        <v>1</v>
      </c>
      <c r="G101" s="18" t="n">
        <v>1</v>
      </c>
      <c r="H101" s="18" t="n">
        <v>1</v>
      </c>
      <c r="I101" s="18" t="n">
        <v>1</v>
      </c>
      <c r="J101" s="18" t="n">
        <v>1</v>
      </c>
      <c r="K101" s="18" t="n">
        <v>1</v>
      </c>
      <c r="L101" s="18" t="n">
        <v>1</v>
      </c>
      <c r="M101" s="18" t="n">
        <v>1</v>
      </c>
      <c r="N101" s="18" t="n">
        <v>1</v>
      </c>
      <c r="O101" s="19" t="inlineStr">
        <is>
          <t>最初の営業・現場監修の統括・理念と判断の基準づくり</t>
        </is>
      </c>
    </row>
    <row r="102" ht="17.5" customHeight="1">
      <c r="A102" s="16" t="inlineStr">
        <is>
          <t>6-10</t>
        </is>
      </c>
      <c r="B102" s="7" t="inlineStr">
        <is>
          <t>人数：CTO</t>
        </is>
      </c>
      <c r="C102" s="8" t="inlineStr">
        <is>
          <t>人（期末）</t>
        </is>
      </c>
      <c r="D102" s="17" t="inlineStr">
        <is>
          <t>見積</t>
        </is>
      </c>
      <c r="E102" s="18" t="n">
        <v>1</v>
      </c>
      <c r="F102" s="18" t="n">
        <v>1</v>
      </c>
      <c r="G102" s="18" t="n">
        <v>1</v>
      </c>
      <c r="H102" s="18" t="n">
        <v>1</v>
      </c>
      <c r="I102" s="18" t="n">
        <v>1</v>
      </c>
      <c r="J102" s="18" t="n">
        <v>1</v>
      </c>
      <c r="K102" s="18" t="n">
        <v>1</v>
      </c>
      <c r="L102" s="18" t="n">
        <v>1</v>
      </c>
      <c r="M102" s="18" t="n">
        <v>1</v>
      </c>
      <c r="N102" s="18" t="n">
        <v>1</v>
      </c>
      <c r="O102" s="19" t="inlineStr">
        <is>
          <t>映像AI・データ基盤の設計と開発の責任者</t>
        </is>
      </c>
    </row>
    <row r="103" ht="17.5" customHeight="1">
      <c r="A103" s="16" t="inlineStr">
        <is>
          <t>6-11</t>
        </is>
      </c>
      <c r="B103" s="7" t="inlineStr">
        <is>
          <t>人数：エンジニア</t>
        </is>
      </c>
      <c r="C103" s="8" t="inlineStr">
        <is>
          <t>人（期末）</t>
        </is>
      </c>
      <c r="D103" s="17" t="inlineStr">
        <is>
          <t>見積</t>
        </is>
      </c>
      <c r="E103" s="18" t="n">
        <v>1</v>
      </c>
      <c r="F103" s="18" t="n">
        <v>2</v>
      </c>
      <c r="G103" s="18" t="n">
        <v>3</v>
      </c>
      <c r="H103" s="18" t="n">
        <v>4</v>
      </c>
      <c r="I103" s="18" t="n">
        <v>5</v>
      </c>
      <c r="J103" s="18" t="n">
        <v>6</v>
      </c>
      <c r="K103" s="18" t="n">
        <v>6</v>
      </c>
      <c r="L103" s="18" t="n">
        <v>7</v>
      </c>
      <c r="M103" s="18" t="n">
        <v>7</v>
      </c>
      <c r="N103" s="18" t="n">
        <v>8</v>
      </c>
      <c r="O103" s="19" t="inlineStr">
        <is>
          <t>アプリ・AI処理・クラウド・グラス連携</t>
        </is>
      </c>
    </row>
    <row r="104" ht="17.5" customHeight="1">
      <c r="A104" s="16" t="inlineStr">
        <is>
          <t>6-12</t>
        </is>
      </c>
      <c r="B104" s="7" t="inlineStr">
        <is>
          <t>人数：現場監修（施工管理経験者）</t>
        </is>
      </c>
      <c r="C104" s="8" t="inlineStr">
        <is>
          <t>人（期末）</t>
        </is>
      </c>
      <c r="D104" s="17" t="inlineStr">
        <is>
          <t>見積</t>
        </is>
      </c>
      <c r="E104" s="18" t="n">
        <v>1</v>
      </c>
      <c r="F104" s="18" t="n">
        <v>1</v>
      </c>
      <c r="G104" s="18" t="n">
        <v>1</v>
      </c>
      <c r="H104" s="18" t="n">
        <v>1</v>
      </c>
      <c r="I104" s="18" t="n">
        <v>2</v>
      </c>
      <c r="J104" s="18" t="n">
        <v>2</v>
      </c>
      <c r="K104" s="18" t="n">
        <v>3</v>
      </c>
      <c r="L104" s="18" t="n">
        <v>3</v>
      </c>
      <c r="M104" s="18" t="n">
        <v>3</v>
      </c>
      <c r="N104" s="18" t="n">
        <v>4</v>
      </c>
      <c r="O104" s="19" t="inlineStr">
        <is>
          <t>映像の意味づけ（ラベル付け）・工種の型・品質の確認</t>
        </is>
      </c>
    </row>
    <row r="105" ht="17.5" customHeight="1">
      <c r="A105" s="16" t="inlineStr">
        <is>
          <t>6-13</t>
        </is>
      </c>
      <c r="B105" s="7" t="inlineStr">
        <is>
          <t>人数：導入コンサルタント</t>
        </is>
      </c>
      <c r="C105" s="8" t="inlineStr">
        <is>
          <t>人（期末）</t>
        </is>
      </c>
      <c r="D105" s="17" t="inlineStr">
        <is>
          <t>見積</t>
        </is>
      </c>
      <c r="E105" s="18" t="n">
        <v>1</v>
      </c>
      <c r="F105" s="18" t="n">
        <v>2</v>
      </c>
      <c r="G105" s="18" t="n">
        <v>4</v>
      </c>
      <c r="H105" s="18" t="n">
        <v>6</v>
      </c>
      <c r="I105" s="18" t="n">
        <v>8</v>
      </c>
      <c r="J105" s="18" t="n">
        <v>8</v>
      </c>
      <c r="K105" s="18" t="n">
        <v>9</v>
      </c>
      <c r="L105" s="18" t="n">
        <v>9</v>
      </c>
      <c r="M105" s="18" t="n">
        <v>9</v>
      </c>
      <c r="N105" s="18" t="n">
        <v>9</v>
      </c>
      <c r="O105" s="19" t="inlineStr">
        <is>
          <t>導入支援・各社の帳票と連携の設定・定着支援（当社のコンサル部隊）</t>
        </is>
      </c>
    </row>
    <row r="106" ht="17.5" customHeight="1">
      <c r="A106" s="16" t="inlineStr">
        <is>
          <t>6-14</t>
        </is>
      </c>
      <c r="B106" s="7" t="inlineStr">
        <is>
          <t>人数：営業（技術営業）</t>
        </is>
      </c>
      <c r="C106" s="8" t="inlineStr">
        <is>
          <t>人（期末）</t>
        </is>
      </c>
      <c r="D106" s="17" t="inlineStr">
        <is>
          <t>見積</t>
        </is>
      </c>
      <c r="E106" s="18" t="n">
        <v>0</v>
      </c>
      <c r="F106" s="18" t="n">
        <v>1</v>
      </c>
      <c r="G106" s="18" t="n">
        <v>1</v>
      </c>
      <c r="H106" s="18" t="n">
        <v>3</v>
      </c>
      <c r="I106" s="18" t="n">
        <v>3</v>
      </c>
      <c r="J106" s="18" t="n">
        <v>3</v>
      </c>
      <c r="K106" s="18" t="n">
        <v>4</v>
      </c>
      <c r="L106" s="18" t="n">
        <v>4</v>
      </c>
      <c r="M106" s="18" t="n">
        <v>4</v>
      </c>
      <c r="N106" s="18" t="n">
        <v>4</v>
      </c>
      <c r="O106" s="19" t="inlineStr">
        <is>
          <t>商談・試験導入の提案。年30商談／人</t>
        </is>
      </c>
    </row>
    <row r="107" ht="17.5" customHeight="1">
      <c r="A107" s="16" t="inlineStr">
        <is>
          <t>6-15</t>
        </is>
      </c>
      <c r="B107" s="7" t="inlineStr">
        <is>
          <t>人数：管理（人事・経理・総務）</t>
        </is>
      </c>
      <c r="C107" s="8" t="inlineStr">
        <is>
          <t>人（期末）</t>
        </is>
      </c>
      <c r="D107" s="17" t="inlineStr">
        <is>
          <t>見積</t>
        </is>
      </c>
      <c r="E107" s="18" t="n">
        <v>0</v>
      </c>
      <c r="F107" s="18" t="n">
        <v>0</v>
      </c>
      <c r="G107" s="18" t="n">
        <v>1</v>
      </c>
      <c r="H107" s="18" t="n">
        <v>1</v>
      </c>
      <c r="I107" s="18" t="n">
        <v>2</v>
      </c>
      <c r="J107" s="18" t="n">
        <v>2</v>
      </c>
      <c r="K107" s="18" t="n">
        <v>2</v>
      </c>
      <c r="L107" s="18" t="n">
        <v>3</v>
      </c>
      <c r="M107" s="18" t="n">
        <v>3</v>
      </c>
      <c r="N107" s="18" t="n">
        <v>3</v>
      </c>
      <c r="O107" s="19" t="inlineStr">
        <is>
          <t>採用・労務・経理・契約</t>
        </is>
      </c>
    </row>
    <row r="108" ht="17.5" customHeight="1">
      <c r="A108" s="16" t="inlineStr">
        <is>
          <t>6-16</t>
        </is>
      </c>
      <c r="B108" s="7" t="inlineStr">
        <is>
          <t>人数：戦略企画</t>
        </is>
      </c>
      <c r="C108" s="8" t="inlineStr">
        <is>
          <t>人（期末）</t>
        </is>
      </c>
      <c r="D108" s="17" t="inlineStr">
        <is>
          <t>見積</t>
        </is>
      </c>
      <c r="E108" s="18" t="n">
        <v>0</v>
      </c>
      <c r="F108" s="18" t="n">
        <v>0</v>
      </c>
      <c r="G108" s="18" t="n">
        <v>0</v>
      </c>
      <c r="H108" s="18" t="n">
        <v>1</v>
      </c>
      <c r="I108" s="18" t="n">
        <v>1</v>
      </c>
      <c r="J108" s="18" t="n">
        <v>1</v>
      </c>
      <c r="K108" s="18" t="n">
        <v>1</v>
      </c>
      <c r="L108" s="18" t="n">
        <v>1</v>
      </c>
      <c r="M108" s="18" t="n">
        <v>2</v>
      </c>
      <c r="N108" s="18" t="n">
        <v>2</v>
      </c>
      <c r="O108" s="19" t="inlineStr">
        <is>
          <t>価格・提携・大手顧客の企画</t>
        </is>
      </c>
    </row>
    <row r="109" ht="17.5" customHeight="1">
      <c r="A109" s="16" t="inlineStr">
        <is>
          <t>6-17</t>
        </is>
      </c>
      <c r="B109" s="7" t="inlineStr">
        <is>
          <t>当社の会社負担を含める倍率</t>
        </is>
      </c>
      <c r="C109" s="8" t="inlineStr">
        <is>
          <t>倍</t>
        </is>
      </c>
      <c r="D109" s="17" t="inlineStr">
        <is>
          <t>見積</t>
        </is>
      </c>
      <c r="E109" s="20" t="n">
        <v>1.2</v>
      </c>
      <c r="O109" s="19" t="inlineStr">
        <is>
          <t>法定福利16%＋福利厚生・研修4%</t>
        </is>
      </c>
    </row>
    <row r="110" ht="17.5" customHeight="1">
      <c r="A110" s="16" t="inlineStr">
        <is>
          <t>6-18</t>
        </is>
      </c>
      <c r="B110" s="7" t="inlineStr">
        <is>
          <t>人材紹介の手数料（年収に対する割合）</t>
        </is>
      </c>
      <c r="C110" s="8" t="inlineStr">
        <is>
          <t>割合</t>
        </is>
      </c>
      <c r="D110" s="17" t="inlineStr">
        <is>
          <t>見積</t>
        </is>
      </c>
      <c r="E110" s="26" t="n">
        <v>0.3</v>
      </c>
      <c r="O110" s="19" t="inlineStr">
        <is>
          <t>人材紹介の相場 年収の30%</t>
        </is>
      </c>
    </row>
    <row r="111" ht="17.5" customHeight="1">
      <c r="A111" s="16" t="inlineStr">
        <is>
          <t>6-19</t>
        </is>
      </c>
      <c r="B111" s="7" t="inlineStr">
        <is>
          <t>紹介会社を使う割合</t>
        </is>
      </c>
      <c r="C111" s="8" t="inlineStr">
        <is>
          <t>割合</t>
        </is>
      </c>
      <c r="D111" s="17" t="inlineStr">
        <is>
          <t>見積</t>
        </is>
      </c>
      <c r="E111" s="26" t="n">
        <v>0.5</v>
      </c>
      <c r="O111" s="19" t="inlineStr"/>
    </row>
    <row r="112" ht="17.5" customHeight="1">
      <c r="A112" s="16" t="inlineStr">
        <is>
          <t>6-20</t>
        </is>
      </c>
      <c r="B112" s="7" t="inlineStr">
        <is>
          <t>採用費率</t>
        </is>
      </c>
      <c r="C112" s="8" t="inlineStr">
        <is>
          <t>割合</t>
        </is>
      </c>
      <c r="D112" s="17" t="inlineStr">
        <is>
          <t>見積</t>
        </is>
      </c>
      <c r="E112" s="28">
        <f>$E$110*$E$111</f>
        <v>0.15</v>
      </c>
      <c r="O112" s="19" t="inlineStr">
        <is>
          <t>年収30%×紹介会社経由50%＝15%（tora_v2.js RECRUIT_RATE）</t>
        </is>
      </c>
    </row>
    <row r="113" ht="17.5" customHeight="1">
      <c r="A113" s="16" t="inlineStr">
        <is>
          <t>6-21</t>
        </is>
      </c>
      <c r="B113" s="7" t="inlineStr">
        <is>
          <t>社外の技術顧問（大学・映像AI）</t>
        </is>
      </c>
      <c r="C113" s="8" t="inlineStr">
        <is>
          <t>万円/月</t>
        </is>
      </c>
      <c r="D113" s="17" t="inlineStr">
        <is>
          <t>見積</t>
        </is>
      </c>
      <c r="E113" s="18" t="n">
        <v>10</v>
      </c>
      <c r="O113" s="19" t="inlineStr"/>
    </row>
    <row r="114" ht="17.5" customHeight="1">
      <c r="A114" s="16" t="inlineStr">
        <is>
          <t>6-22</t>
        </is>
      </c>
      <c r="B114" s="7" t="inlineStr">
        <is>
          <t>社外の業界顧問（電気工事業のOB）</t>
        </is>
      </c>
      <c r="C114" s="8" t="inlineStr">
        <is>
          <t>万円/月</t>
        </is>
      </c>
      <c r="D114" s="17" t="inlineStr">
        <is>
          <t>見積</t>
        </is>
      </c>
      <c r="E114" s="18" t="n">
        <v>5</v>
      </c>
      <c r="O114" s="19" t="inlineStr"/>
    </row>
    <row r="115" ht="17.5" customHeight="1">
      <c r="A115" s="16" t="inlineStr">
        <is>
          <t>6-23</t>
        </is>
      </c>
      <c r="B115" s="7" t="inlineStr">
        <is>
          <t>社外顧問の年額</t>
        </is>
      </c>
      <c r="C115" s="8" t="inlineStr">
        <is>
          <t>万円/年</t>
        </is>
      </c>
      <c r="D115" s="17" t="inlineStr">
        <is>
          <t>見積</t>
        </is>
      </c>
      <c r="E115" s="22">
        <f>($E$113+$E$114)*$E$6</f>
        <v>180</v>
      </c>
      <c r="O115" s="19" t="inlineStr">
        <is>
          <t>(月10万＋月5万)×12＝180万円（tora_v2.js ADVISORS）</t>
        </is>
      </c>
    </row>
    <row r="116" ht="19" customHeight="1">
      <c r="A116" s="3" t="inlineStr">
        <is>
          <t>7. 成長（拠点・個社設定・経費・資金。1〜5年目＝GROWTH、6〜10年目＝EXT）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 ht="28" customHeight="1">
      <c r="A117" s="5" t="n"/>
      <c r="B117" s="5" t="inlineStr">
        <is>
          <t>項目</t>
        </is>
      </c>
      <c r="C117" s="5" t="n"/>
      <c r="D117" s="5" t="n"/>
      <c r="E117" s="5" t="inlineStr">
        <is>
          <t>1年目</t>
        </is>
      </c>
      <c r="F117" s="5" t="inlineStr">
        <is>
          <t>2年目</t>
        </is>
      </c>
      <c r="G117" s="5" t="inlineStr">
        <is>
          <t>3年目</t>
        </is>
      </c>
      <c r="H117" s="5" t="inlineStr">
        <is>
          <t>4年目</t>
        </is>
      </c>
      <c r="I117" s="5" t="inlineStr">
        <is>
          <t>5年目</t>
        </is>
      </c>
      <c r="J117" s="5" t="inlineStr">
        <is>
          <t>6年目</t>
        </is>
      </c>
      <c r="K117" s="5" t="inlineStr">
        <is>
          <t>7年目</t>
        </is>
      </c>
      <c r="L117" s="5" t="inlineStr">
        <is>
          <t>8年目</t>
        </is>
      </c>
      <c r="M117" s="5" t="inlineStr">
        <is>
          <t>9年目</t>
        </is>
      </c>
      <c r="N117" s="5" t="inlineStr">
        <is>
          <t>10年目</t>
        </is>
      </c>
      <c r="O117" s="5" t="n"/>
    </row>
    <row r="118" ht="31" customHeight="1">
      <c r="A118" s="16" t="inlineStr">
        <is>
          <t>7-1</t>
        </is>
      </c>
      <c r="B118" s="7" t="inlineStr">
        <is>
          <t>新規拠点</t>
        </is>
      </c>
      <c r="C118" s="8" t="inlineStr">
        <is>
          <t>拠点/年</t>
        </is>
      </c>
      <c r="D118" s="17" t="inlineStr">
        <is>
          <t>見積</t>
        </is>
      </c>
      <c r="E118" s="18" t="n">
        <v>3</v>
      </c>
      <c r="F118" s="18" t="n">
        <v>9</v>
      </c>
      <c r="G118" s="18" t="n">
        <v>18</v>
      </c>
      <c r="H118" s="18" t="n">
        <v>27</v>
      </c>
      <c r="I118" s="18" t="n">
        <v>33</v>
      </c>
      <c r="J118" s="18" t="n">
        <v>36</v>
      </c>
      <c r="K118" s="18" t="n">
        <v>38</v>
      </c>
      <c r="L118" s="18" t="n">
        <v>40</v>
      </c>
      <c r="M118" s="18" t="n">
        <v>40</v>
      </c>
      <c r="N118" s="18" t="n">
        <v>40</v>
      </c>
      <c r="O118" s="19" t="inlineStr">
        <is>
          <t>導入コンサルタント1人＝年6拠点の上限から。6年目以降は関東の中堅で頭打ち（電線工場・海外は入れない）</t>
        </is>
      </c>
    </row>
    <row r="119" ht="31" customHeight="1">
      <c r="A119" s="16" t="inlineStr">
        <is>
          <t>7-2</t>
        </is>
      </c>
      <c r="B119" s="7" t="inlineStr">
        <is>
          <t>解約率（期首の拠点に対して）</t>
        </is>
      </c>
      <c r="C119" s="8" t="inlineStr">
        <is>
          <t>割合/年</t>
        </is>
      </c>
      <c r="D119" s="17" t="inlineStr">
        <is>
          <t>見積</t>
        </is>
      </c>
      <c r="E119" s="26" t="n">
        <v>0.1</v>
      </c>
      <c r="O119" s="19" t="inlineStr">
        <is>
          <t>B2B SaaS の年間解約は大企業5〜10%・中小30〜50%。乗り換えにくさを見て中間より低め</t>
        </is>
      </c>
    </row>
    <row r="120" ht="17.5" customHeight="1">
      <c r="A120" s="16" t="inlineStr">
        <is>
          <t>7-3</t>
        </is>
      </c>
      <c r="B120" s="7" t="inlineStr">
        <is>
          <t>新規の初年度の課金割合（半年分）</t>
        </is>
      </c>
      <c r="C120" s="8" t="inlineStr">
        <is>
          <t>割合</t>
        </is>
      </c>
      <c r="D120" s="17" t="inlineStr">
        <is>
          <t>仮定</t>
        </is>
      </c>
      <c r="E120" s="26" t="n">
        <v>0.5</v>
      </c>
      <c r="O120" s="19" t="inlineStr">
        <is>
          <t>新規は初年度に半年分を払う</t>
        </is>
      </c>
    </row>
    <row r="121" ht="17.5" customHeight="1">
      <c r="A121" s="16" t="inlineStr">
        <is>
          <t>7-4</t>
        </is>
      </c>
      <c r="B121" s="7" t="inlineStr">
        <is>
          <t>試験導入の年（利用料なし）</t>
        </is>
      </c>
      <c r="C121" s="8" t="inlineStr">
        <is>
          <t>年目</t>
        </is>
      </c>
      <c r="D121" s="17" t="inlineStr">
        <is>
          <t>仮定</t>
        </is>
      </c>
      <c r="E121" s="29" t="n">
        <v>1</v>
      </c>
      <c r="O121" s="19" t="inlineStr">
        <is>
          <t>1年目の3拠点は有償の試験導入。利用料は入らず、原価は3か月分かかる</t>
        </is>
      </c>
    </row>
    <row r="122" ht="17.5" customHeight="1">
      <c r="A122" s="16" t="inlineStr">
        <is>
          <t>7-5</t>
        </is>
      </c>
      <c r="B122" s="7" t="inlineStr">
        <is>
          <t>試験導入で原価がかかる月数</t>
        </is>
      </c>
      <c r="C122" s="8" t="inlineStr">
        <is>
          <t>か月</t>
        </is>
      </c>
      <c r="D122" s="17" t="inlineStr">
        <is>
          <t>仮定</t>
        </is>
      </c>
      <c r="E122" s="18" t="n">
        <v>3</v>
      </c>
      <c r="O122" s="19" t="inlineStr"/>
    </row>
    <row r="123" ht="17.5" customHeight="1">
      <c r="A123" s="16" t="inlineStr">
        <is>
          <t>7-6</t>
        </is>
      </c>
      <c r="B123" s="7" t="inlineStr">
        <is>
          <t>試験導入の原価の割合</t>
        </is>
      </c>
      <c r="C123" s="8" t="inlineStr">
        <is>
          <t>割合</t>
        </is>
      </c>
      <c r="D123" s="17" t="inlineStr">
        <is>
          <t>仮定</t>
        </is>
      </c>
      <c r="E123" s="30">
        <f>E122/$E$6</f>
        <v>0.25</v>
      </c>
      <c r="O123" s="19" t="inlineStr">
        <is>
          <t>3か月÷12か月</t>
        </is>
      </c>
    </row>
    <row r="124" ht="31" customHeight="1">
      <c r="A124" s="16" t="inlineStr">
        <is>
          <t>7-7</t>
        </is>
      </c>
      <c r="B124" s="7" t="inlineStr">
        <is>
          <t>個社設定の売上</t>
        </is>
      </c>
      <c r="C124" s="8" t="inlineStr">
        <is>
          <t>万円/年</t>
        </is>
      </c>
      <c r="D124" s="17" t="inlineStr">
        <is>
          <t>見積</t>
        </is>
      </c>
      <c r="E124" s="18" t="n">
        <v>600</v>
      </c>
      <c r="F124" s="18" t="n">
        <v>750</v>
      </c>
      <c r="G124" s="18" t="n">
        <v>1100</v>
      </c>
      <c r="H124" s="18" t="n">
        <v>550</v>
      </c>
      <c r="I124" s="18" t="n">
        <v>950</v>
      </c>
      <c r="J124" s="18" t="n">
        <v>1000</v>
      </c>
      <c r="K124" s="18" t="n">
        <v>1100</v>
      </c>
      <c r="L124" s="18" t="n">
        <v>1200</v>
      </c>
      <c r="M124" s="18" t="n">
        <v>1300</v>
      </c>
      <c r="N124" s="18" t="n">
        <v>1400</v>
      </c>
      <c r="O124" s="19" t="inlineStr">
        <is>
          <t>その会社の帳票・既存システムとの連携の設定。件数×単価の仮置き（売上の5%以下）</t>
        </is>
      </c>
    </row>
    <row r="125" ht="17.5" customHeight="1">
      <c r="A125" s="16" t="inlineStr">
        <is>
          <t>7-8</t>
        </is>
      </c>
      <c r="B125" s="7" t="inlineStr">
        <is>
          <t>個社設定の粗利率</t>
        </is>
      </c>
      <c r="C125" s="8" t="inlineStr">
        <is>
          <t>割合</t>
        </is>
      </c>
      <c r="D125" s="17" t="inlineStr">
        <is>
          <t>見積</t>
        </is>
      </c>
      <c r="E125" s="23">
        <f>1/3</f>
        <v>0.333333333333333</v>
      </c>
      <c r="O125" s="19" t="inlineStr">
        <is>
          <t>人件費（2/3）を原価に振り替える</t>
        </is>
      </c>
    </row>
    <row r="126" ht="17.5" customHeight="1">
      <c r="A126" s="16" t="inlineStr">
        <is>
          <t>7-9</t>
        </is>
      </c>
      <c r="B126" s="7" t="inlineStr">
        <is>
          <t>その他の経費：オフィス（賃料＋共益費）</t>
        </is>
      </c>
      <c r="C126" s="8" t="inlineStr">
        <is>
          <t>万円/年</t>
        </is>
      </c>
      <c r="D126" s="17" t="inlineStr">
        <is>
          <t>見積</t>
        </is>
      </c>
      <c r="E126" s="18" t="n">
        <v>240</v>
      </c>
      <c r="F126" s="18" t="n">
        <v>300</v>
      </c>
      <c r="G126" s="18" t="n">
        <v>360</v>
      </c>
      <c r="H126" s="18" t="n">
        <v>480</v>
      </c>
      <c r="I126" s="18" t="n">
        <v>600</v>
      </c>
      <c r="J126" s="18" t="n">
        <v>600</v>
      </c>
      <c r="K126" s="18" t="n">
        <v>700</v>
      </c>
      <c r="L126" s="18" t="n">
        <v>700</v>
      </c>
      <c r="M126" s="18" t="n">
        <v>800</v>
      </c>
      <c r="N126" s="18" t="n">
        <v>800</v>
      </c>
      <c r="O126" s="19" t="inlineStr">
        <is>
          <t>川崎 15坪→40坪、坪1.25〜1.3万円</t>
        </is>
      </c>
    </row>
    <row r="127" ht="17.5" customHeight="1">
      <c r="A127" s="16" t="inlineStr">
        <is>
          <t>7-10</t>
        </is>
      </c>
      <c r="B127" s="7" t="inlineStr">
        <is>
          <t>その他の経費：広告・展示会</t>
        </is>
      </c>
      <c r="C127" s="8" t="inlineStr">
        <is>
          <t>万円/年</t>
        </is>
      </c>
      <c r="D127" s="17" t="inlineStr">
        <is>
          <t>見積</t>
        </is>
      </c>
      <c r="E127" s="18" t="n">
        <v>200</v>
      </c>
      <c r="F127" s="18" t="n">
        <v>250</v>
      </c>
      <c r="G127" s="18" t="n">
        <v>300</v>
      </c>
      <c r="H127" s="18" t="n">
        <v>400</v>
      </c>
      <c r="I127" s="18" t="n">
        <v>500</v>
      </c>
      <c r="J127" s="18" t="n">
        <v>500</v>
      </c>
      <c r="K127" s="18" t="n">
        <v>550</v>
      </c>
      <c r="L127" s="18" t="n">
        <v>600</v>
      </c>
      <c r="M127" s="18" t="n">
        <v>600</v>
      </c>
      <c r="N127" s="18" t="n">
        <v>600</v>
      </c>
      <c r="O127" s="19" t="inlineStr">
        <is>
          <t>展示会・業界団体・Web・営業資料</t>
        </is>
      </c>
    </row>
    <row r="128" ht="17.5" customHeight="1">
      <c r="A128" s="16" t="inlineStr">
        <is>
          <t>7-11</t>
        </is>
      </c>
      <c r="B128" s="7" t="inlineStr">
        <is>
          <t>その他の経費：営業・定着支援の交通費</t>
        </is>
      </c>
      <c r="C128" s="8" t="inlineStr">
        <is>
          <t>万円/年</t>
        </is>
      </c>
      <c r="D128" s="17" t="inlineStr">
        <is>
          <t>見積</t>
        </is>
      </c>
      <c r="E128" s="18" t="n">
        <v>150</v>
      </c>
      <c r="F128" s="18" t="n">
        <v>250</v>
      </c>
      <c r="G128" s="18" t="n">
        <v>300</v>
      </c>
      <c r="H128" s="18" t="n">
        <v>400</v>
      </c>
      <c r="I128" s="18" t="n">
        <v>500</v>
      </c>
      <c r="J128" s="18" t="n">
        <v>550</v>
      </c>
      <c r="K128" s="18" t="n">
        <v>600</v>
      </c>
      <c r="L128" s="18" t="n">
        <v>650</v>
      </c>
      <c r="M128" s="18" t="n">
        <v>700</v>
      </c>
      <c r="N128" s="18" t="n">
        <v>700</v>
      </c>
      <c r="O128" s="19" t="inlineStr">
        <is>
          <t>導入支援の交通費は原価</t>
        </is>
      </c>
    </row>
    <row r="129" ht="17.5" customHeight="1">
      <c r="A129" s="16" t="inlineStr">
        <is>
          <t>7-12</t>
        </is>
      </c>
      <c r="B129" s="7" t="inlineStr">
        <is>
          <t>その他の経費：開発用の端末・検証機・ソフト</t>
        </is>
      </c>
      <c r="C129" s="8" t="inlineStr">
        <is>
          <t>万円/年</t>
        </is>
      </c>
      <c r="D129" s="17" t="inlineStr">
        <is>
          <t>見積</t>
        </is>
      </c>
      <c r="E129" s="18" t="n">
        <v>200</v>
      </c>
      <c r="F129" s="18" t="n">
        <v>250</v>
      </c>
      <c r="G129" s="18" t="n">
        <v>300</v>
      </c>
      <c r="H129" s="18" t="n">
        <v>350</v>
      </c>
      <c r="I129" s="18" t="n">
        <v>400</v>
      </c>
      <c r="J129" s="18" t="n">
        <v>400</v>
      </c>
      <c r="K129" s="18" t="n">
        <v>400</v>
      </c>
      <c r="L129" s="18" t="n">
        <v>450</v>
      </c>
      <c r="M129" s="18" t="n">
        <v>450</v>
      </c>
      <c r="N129" s="18" t="n">
        <v>500</v>
      </c>
      <c r="O129" s="19" t="inlineStr"/>
    </row>
    <row r="130" ht="31" customHeight="1">
      <c r="A130" s="16" t="inlineStr">
        <is>
          <t>7-13</t>
        </is>
      </c>
      <c r="B130" s="7" t="inlineStr">
        <is>
          <t>その他の経費：専門家（税理士・弁護士・弁理士・社労士）</t>
        </is>
      </c>
      <c r="C130" s="8" t="inlineStr">
        <is>
          <t>万円/年</t>
        </is>
      </c>
      <c r="D130" s="17" t="inlineStr">
        <is>
          <t>見積</t>
        </is>
      </c>
      <c r="E130" s="18" t="n">
        <v>100</v>
      </c>
      <c r="F130" s="18" t="n">
        <v>120</v>
      </c>
      <c r="G130" s="18" t="n">
        <v>150</v>
      </c>
      <c r="H130" s="18" t="n">
        <v>180</v>
      </c>
      <c r="I130" s="18" t="n">
        <v>200</v>
      </c>
      <c r="J130" s="18" t="n">
        <v>200</v>
      </c>
      <c r="K130" s="18" t="n">
        <v>220</v>
      </c>
      <c r="L130" s="18" t="n">
        <v>220</v>
      </c>
      <c r="M130" s="18" t="n">
        <v>250</v>
      </c>
      <c r="N130" s="18" t="n">
        <v>250</v>
      </c>
      <c r="O130" s="19" t="inlineStr"/>
    </row>
    <row r="131" ht="17.5" customHeight="1">
      <c r="A131" s="16" t="inlineStr">
        <is>
          <t>7-14</t>
        </is>
      </c>
      <c r="B131" s="7" t="inlineStr">
        <is>
          <t>その他の経費：雑費</t>
        </is>
      </c>
      <c r="C131" s="8" t="inlineStr">
        <is>
          <t>万円/年</t>
        </is>
      </c>
      <c r="D131" s="17" t="inlineStr">
        <is>
          <t>見積</t>
        </is>
      </c>
      <c r="E131" s="18" t="n">
        <v>100</v>
      </c>
      <c r="F131" s="18" t="n">
        <v>120</v>
      </c>
      <c r="G131" s="18" t="n">
        <v>190</v>
      </c>
      <c r="H131" s="18" t="n">
        <v>200</v>
      </c>
      <c r="I131" s="18" t="n">
        <v>200</v>
      </c>
      <c r="J131" s="18" t="n">
        <v>200</v>
      </c>
      <c r="K131" s="18" t="n">
        <v>220</v>
      </c>
      <c r="L131" s="18" t="n">
        <v>240</v>
      </c>
      <c r="M131" s="18" t="n">
        <v>260</v>
      </c>
      <c r="N131" s="18" t="n">
        <v>280</v>
      </c>
      <c r="O131" s="19" t="inlineStr"/>
    </row>
    <row r="132" ht="17.5" customHeight="1">
      <c r="A132" s="16" t="inlineStr">
        <is>
          <t>7-15</t>
        </is>
      </c>
      <c r="B132" s="7" t="inlineStr">
        <is>
          <t>その他の経費：AIの学習・評価の計算費</t>
        </is>
      </c>
      <c r="C132" s="8" t="inlineStr">
        <is>
          <t>万円/年</t>
        </is>
      </c>
      <c r="D132" s="17" t="inlineStr">
        <is>
          <t>見積</t>
        </is>
      </c>
      <c r="E132" s="18" t="n">
        <v>0</v>
      </c>
      <c r="F132" s="18" t="n">
        <v>180</v>
      </c>
      <c r="G132" s="18" t="n">
        <v>240</v>
      </c>
      <c r="H132" s="18" t="n">
        <v>300</v>
      </c>
      <c r="I132" s="18" t="n">
        <v>360</v>
      </c>
      <c r="J132" s="18" t="n">
        <v>400</v>
      </c>
      <c r="K132" s="18" t="n">
        <v>440</v>
      </c>
      <c r="L132" s="18" t="n">
        <v>480</v>
      </c>
      <c r="M132" s="18" t="n">
        <v>520</v>
      </c>
      <c r="N132" s="18" t="n">
        <v>560</v>
      </c>
      <c r="O132" s="19" t="inlineStr">
        <is>
          <t>クラウドGPU 月15〜30万円、2年目から</t>
        </is>
      </c>
    </row>
    <row r="133" ht="31" customHeight="1">
      <c r="A133" s="16" t="inlineStr">
        <is>
          <t>7-16</t>
        </is>
      </c>
      <c r="B133" s="7" t="inlineStr">
        <is>
          <t>資金投入（自己資金）</t>
        </is>
      </c>
      <c r="C133" s="8" t="inlineStr">
        <is>
          <t>万円/年</t>
        </is>
      </c>
      <c r="D133" s="17" t="inlineStr">
        <is>
          <t>見積</t>
        </is>
      </c>
      <c r="E133" s="18" t="n">
        <v>20000</v>
      </c>
      <c r="F133" s="18" t="n">
        <v>0</v>
      </c>
      <c r="G133" s="18" t="n">
        <v>5000</v>
      </c>
      <c r="H133" s="18" t="n">
        <v>0</v>
      </c>
      <c r="I133" s="18" t="n">
        <v>0</v>
      </c>
      <c r="J133" s="18" t="n">
        <v>0</v>
      </c>
      <c r="K133" s="18" t="n">
        <v>0</v>
      </c>
      <c r="L133" s="18" t="n">
        <v>0</v>
      </c>
      <c r="M133" s="18" t="n">
        <v>0</v>
      </c>
      <c r="N133" s="18" t="n">
        <v>0</v>
      </c>
      <c r="O133" s="19" t="inlineStr">
        <is>
          <t>課題の前提「豊富な資金」。1年目2億円、3年目に撤退ラインを越えていれば5,000万円</t>
        </is>
      </c>
    </row>
    <row r="134" ht="17.5" customHeight="1">
      <c r="A134" s="16" t="inlineStr">
        <is>
          <t>7-17</t>
        </is>
      </c>
      <c r="B134" s="7" t="inlineStr">
        <is>
          <t>準備期の資金（試作品・実証）</t>
        </is>
      </c>
      <c r="C134" s="8" t="inlineStr">
        <is>
          <t>万円</t>
        </is>
      </c>
      <c r="D134" s="17" t="inlineStr">
        <is>
          <t>見積</t>
        </is>
      </c>
      <c r="E134" s="18" t="n">
        <v>500</v>
      </c>
      <c r="O134" s="19" t="inlineStr">
        <is>
          <t>準備期に使い切る。1年目期首の現金には入れない（tora_v2.js と同じ）</t>
        </is>
      </c>
    </row>
    <row r="135" ht="17.5" customHeight="1">
      <c r="A135" s="16" t="inlineStr">
        <is>
          <t>7-18</t>
        </is>
      </c>
      <c r="B135" s="7" t="inlineStr">
        <is>
          <t>開業時の拠点</t>
        </is>
      </c>
      <c r="C135" s="8" t="inlineStr">
        <is>
          <t>拠点</t>
        </is>
      </c>
      <c r="D135" s="17" t="inlineStr">
        <is>
          <t>仮定</t>
        </is>
      </c>
      <c r="E135" s="18" t="n">
        <v>0</v>
      </c>
      <c r="O135" s="19" t="inlineStr"/>
    </row>
    <row r="136" ht="17.5" customHeight="1">
      <c r="A136" s="16" t="inlineStr">
        <is>
          <t>7-19</t>
        </is>
      </c>
      <c r="B136" s="7" t="inlineStr">
        <is>
          <t>1年目期首の現金</t>
        </is>
      </c>
      <c r="C136" s="8" t="inlineStr">
        <is>
          <t>万円</t>
        </is>
      </c>
      <c r="D136" s="17" t="inlineStr">
        <is>
          <t>仮定</t>
        </is>
      </c>
      <c r="E136" s="18" t="n">
        <v>0</v>
      </c>
      <c r="O136" s="19" t="inlineStr">
        <is>
          <t>tora_v2.js は現金0から始め、資金投入と営業損益を足す</t>
        </is>
      </c>
    </row>
    <row r="137" ht="17.5" customHeight="1">
      <c r="A137" s="16" t="inlineStr">
        <is>
          <t>7-20</t>
        </is>
      </c>
      <c r="B137" s="7" t="inlineStr">
        <is>
          <t>最低残高の目安（販管費の何か月分）</t>
        </is>
      </c>
      <c r="C137" s="8" t="inlineStr">
        <is>
          <t>か月</t>
        </is>
      </c>
      <c r="D137" s="17" t="inlineStr">
        <is>
          <t>見積</t>
        </is>
      </c>
      <c r="E137" s="18" t="n">
        <v>3</v>
      </c>
      <c r="O137" s="19" t="inlineStr"/>
    </row>
    <row r="138" ht="19" customHeight="1">
      <c r="A138" s="3" t="inlineStr">
        <is>
          <t>8. シナリオのつまみ（この初期値のとき tora_v2.js の計画と一致する）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 ht="17.5" customHeight="1">
      <c r="A139" s="16" t="inlineStr">
        <is>
          <t>8-1</t>
        </is>
      </c>
      <c r="B139" s="7" t="inlineStr">
        <is>
          <t>値段の倍率（基盤と端末ライセンス）</t>
        </is>
      </c>
      <c r="C139" s="8" t="inlineStr">
        <is>
          <t>倍</t>
        </is>
      </c>
      <c r="D139" s="17" t="inlineStr">
        <is>
          <t>仮定</t>
        </is>
      </c>
      <c r="E139" s="20" t="n">
        <v>1</v>
      </c>
      <c r="O139" s="19" t="inlineStr">
        <is>
          <t>tora_v2.js run({priceK})</t>
        </is>
      </c>
    </row>
    <row r="140" ht="17.5" customHeight="1">
      <c r="A140" s="16" t="inlineStr">
        <is>
          <t>8-2</t>
        </is>
      </c>
      <c r="B140" s="7" t="inlineStr">
        <is>
          <t>解約率の上書き（空なら7-2を使う）</t>
        </is>
      </c>
      <c r="C140" s="8" t="inlineStr">
        <is>
          <t>割合/年</t>
        </is>
      </c>
      <c r="D140" s="17" t="inlineStr">
        <is>
          <t>仮定</t>
        </is>
      </c>
      <c r="E140" s="26" t="n"/>
      <c r="O140" s="19" t="inlineStr">
        <is>
          <t>tora_v2.js run({churnRate})</t>
        </is>
      </c>
    </row>
    <row r="141" ht="17.5" customHeight="1">
      <c r="A141" s="16" t="inlineStr">
        <is>
          <t>8-3</t>
        </is>
      </c>
      <c r="B141" s="7" t="inlineStr">
        <is>
          <t>原価の倍率（AI・保存の1台あたり）</t>
        </is>
      </c>
      <c r="C141" s="8" t="inlineStr">
        <is>
          <t>倍</t>
        </is>
      </c>
      <c r="D141" s="17" t="inlineStr">
        <is>
          <t>仮定</t>
        </is>
      </c>
      <c r="E141" s="20" t="n">
        <v>1</v>
      </c>
      <c r="O141" s="19" t="inlineStr">
        <is>
          <t>tora_v2.js run({perDevice})。データ基盤には掛けない</t>
        </is>
      </c>
    </row>
    <row r="142" ht="17.5" customHeight="1">
      <c r="A142" s="16" t="inlineStr">
        <is>
          <t>8-4</t>
        </is>
      </c>
      <c r="B142" s="7" t="inlineStr">
        <is>
          <t>年収の上乗せ（全員）</t>
        </is>
      </c>
      <c r="C142" s="8" t="inlineStr">
        <is>
          <t>万円/人</t>
        </is>
      </c>
      <c r="D142" s="17" t="inlineStr">
        <is>
          <t>仮定</t>
        </is>
      </c>
      <c r="E142" s="18" t="n">
        <v>0</v>
      </c>
      <c r="O142" s="19" t="inlineStr">
        <is>
          <t>tora_v2.js run({salaryAdd})。採用費には効かない</t>
        </is>
      </c>
    </row>
    <row r="143" ht="17.5" customHeight="1">
      <c r="A143" s="16" t="inlineStr">
        <is>
          <t>8-5</t>
        </is>
      </c>
      <c r="B143" s="7" t="inlineStr">
        <is>
          <t>採用連動のk（空なら連動しない）</t>
        </is>
      </c>
      <c r="C143" s="8" t="inlineStr">
        <is>
          <t>倍</t>
        </is>
      </c>
      <c r="D143" s="17" t="inlineStr">
        <is>
          <t>仮定</t>
        </is>
      </c>
      <c r="E143" s="20" t="n"/>
      <c r="O143" s="19" t="inlineStr">
        <is>
          <t>tora_v2.js run({hireK})：社員数＝4＋(計画−4)×k を四捨五入</t>
        </is>
      </c>
    </row>
    <row r="144" ht="17.5" customHeight="1">
      <c r="A144" s="16" t="inlineStr">
        <is>
          <t>8-6</t>
        </is>
      </c>
      <c r="B144" s="7" t="inlineStr">
        <is>
          <t>採用連動のときに残す人数</t>
        </is>
      </c>
      <c r="C144" s="8" t="inlineStr">
        <is>
          <t>人</t>
        </is>
      </c>
      <c r="D144" s="17" t="inlineStr">
        <is>
          <t>仮定</t>
        </is>
      </c>
      <c r="E144" s="18" t="n">
        <v>4</v>
      </c>
      <c r="O144" s="19" t="inlineStr">
        <is>
          <t>tora_v2.js の式の4</t>
        </is>
      </c>
    </row>
    <row r="145" ht="19" customHeight="1">
      <c r="A145" s="3" t="inlineStr">
        <is>
          <t>9. LTV・CAC と黒字ライン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 ht="17.5" customHeight="1">
      <c r="A146" s="16" t="inlineStr">
        <is>
          <t>9-1</t>
        </is>
      </c>
      <c r="B146" s="7" t="inlineStr">
        <is>
          <t>計画で使う継続年数</t>
        </is>
      </c>
      <c r="C146" s="8" t="inlineStr">
        <is>
          <t>年</t>
        </is>
      </c>
      <c r="D146" s="17" t="inlineStr">
        <is>
          <t>仮定</t>
        </is>
      </c>
      <c r="E146" s="18" t="n">
        <v>7</v>
      </c>
      <c r="O146" s="19" t="inlineStr">
        <is>
          <t>解約が年10%なら平均10年。7年は控えめ</t>
        </is>
      </c>
    </row>
    <row r="147" ht="17.5" customHeight="1">
      <c r="A147" s="16" t="inlineStr">
        <is>
          <t>9-2</t>
        </is>
      </c>
      <c r="B147" s="7" t="inlineStr">
        <is>
          <t>CACを計算する年</t>
        </is>
      </c>
      <c r="C147" s="8" t="inlineStr">
        <is>
          <t>年目</t>
        </is>
      </c>
      <c r="D147" s="17" t="inlineStr">
        <is>
          <t>仮定</t>
        </is>
      </c>
      <c r="E147" s="29" t="n">
        <v>5</v>
      </c>
      <c r="O147" s="19" t="inlineStr">
        <is>
          <t>tora_v2.js unit()：5年目の営業3人・広告・新規</t>
        </is>
      </c>
    </row>
    <row r="148" ht="17.5" customHeight="1">
      <c r="A148" s="16" t="inlineStr">
        <is>
          <t>9-3</t>
        </is>
      </c>
      <c r="B148" s="7" t="inlineStr">
        <is>
          <t>台数の黒字ラインを計算する年</t>
        </is>
      </c>
      <c r="C148" s="8" t="inlineStr">
        <is>
          <t>年目</t>
        </is>
      </c>
      <c r="D148" s="17" t="inlineStr">
        <is>
          <t>仮定</t>
        </is>
      </c>
      <c r="E148" s="29" t="n">
        <v>5</v>
      </c>
      <c r="O148" s="19" t="inlineStr"/>
    </row>
    <row r="149" ht="17.5" customHeight="1">
      <c r="A149" s="16" t="inlineStr">
        <is>
          <t>9-4</t>
        </is>
      </c>
      <c r="B149" s="7" t="inlineStr">
        <is>
          <t>黒字ラインで確かめる台数</t>
        </is>
      </c>
      <c r="C149" s="8" t="inlineStr">
        <is>
          <t>台/拠点</t>
        </is>
      </c>
      <c r="D149" s="17" t="inlineStr">
        <is>
          <t>仮定</t>
        </is>
      </c>
      <c r="E149" s="18" t="n">
        <v>15</v>
      </c>
      <c r="O149" s="19" t="inlineStr">
        <is>
          <t>計算詳細版 p.18・21</t>
        </is>
      </c>
    </row>
    <row r="150" ht="28" customHeight="1">
      <c r="A150" s="5" t="n"/>
      <c r="B150" s="5" t="inlineStr">
        <is>
          <t>表の軸</t>
        </is>
      </c>
      <c r="C150" s="5" t="n"/>
      <c r="D150" s="5" t="n"/>
      <c r="E150" s="5" t="inlineStr">
        <is>
          <t>1</t>
        </is>
      </c>
      <c r="F150" s="5" t="inlineStr">
        <is>
          <t>2</t>
        </is>
      </c>
      <c r="G150" s="5" t="inlineStr">
        <is>
          <t>3</t>
        </is>
      </c>
      <c r="H150" s="5" t="inlineStr">
        <is>
          <t>4</t>
        </is>
      </c>
      <c r="I150" s="5" t="n"/>
      <c r="J150" s="5" t="n"/>
      <c r="K150" s="5" t="n"/>
      <c r="L150" s="5" t="n"/>
      <c r="M150" s="5" t="n"/>
      <c r="N150" s="5" t="n"/>
      <c r="O150" s="5" t="n"/>
    </row>
    <row r="151" ht="17.5" customHeight="1">
      <c r="A151" s="16" t="inlineStr">
        <is>
          <t>9-5</t>
        </is>
      </c>
      <c r="B151" s="7" t="inlineStr">
        <is>
          <t>LTVの表：継続年数</t>
        </is>
      </c>
      <c r="C151" s="8" t="inlineStr">
        <is>
          <t>年</t>
        </is>
      </c>
      <c r="D151" s="17" t="inlineStr">
        <is>
          <t>仮定</t>
        </is>
      </c>
      <c r="E151" s="18" t="n">
        <v>3</v>
      </c>
      <c r="F151" s="18" t="n">
        <v>5</v>
      </c>
      <c r="G151" s="18" t="n">
        <v>7</v>
      </c>
      <c r="H151" s="18" t="n">
        <v>10</v>
      </c>
      <c r="O151" s="19" t="inlineStr"/>
    </row>
    <row r="152" ht="17.5" customHeight="1">
      <c r="A152" s="16" t="inlineStr">
        <is>
          <t>9-6</t>
        </is>
      </c>
      <c r="B152" s="7" t="inlineStr">
        <is>
          <t>CACの表：倍率</t>
        </is>
      </c>
      <c r="C152" s="8" t="inlineStr">
        <is>
          <t>倍</t>
        </is>
      </c>
      <c r="D152" s="17" t="inlineStr">
        <is>
          <t>仮定</t>
        </is>
      </c>
      <c r="E152" s="18" t="n">
        <v>1</v>
      </c>
      <c r="F152" s="18" t="n">
        <v>2</v>
      </c>
      <c r="G152" s="18" t="n">
        <v>4</v>
      </c>
      <c r="O152" s="19" t="inlineStr">
        <is>
          <t>獲得が難しくなった場合</t>
        </is>
      </c>
    </row>
    <row r="153" ht="19" customHeight="1">
      <c r="A153" s="3" t="inlineStr">
        <is>
          <t>10. 資金と黒字倒産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 ht="17.5" customHeight="1">
      <c r="A154" s="16" t="inlineStr">
        <is>
          <t>10-1</t>
        </is>
      </c>
      <c r="B154" s="7" t="inlineStr">
        <is>
          <t>売掛の回収（月額の後払い・支払いサイト）</t>
        </is>
      </c>
      <c r="C154" s="8" t="inlineStr">
        <is>
          <t>日</t>
        </is>
      </c>
      <c r="D154" s="17" t="inlineStr">
        <is>
          <t>仮定</t>
        </is>
      </c>
      <c r="E154" s="18" t="n">
        <v>60</v>
      </c>
      <c r="O154" s="19" t="inlineStr"/>
    </row>
    <row r="155" ht="17.5" customHeight="1">
      <c r="A155" s="16" t="inlineStr">
        <is>
          <t>10-2</t>
        </is>
      </c>
      <c r="B155" s="7" t="inlineStr">
        <is>
          <t>採用の先行（拠点が増える前に入社）</t>
        </is>
      </c>
      <c r="C155" s="8" t="inlineStr">
        <is>
          <t>か月</t>
        </is>
      </c>
      <c r="D155" s="17" t="inlineStr">
        <is>
          <t>仮定</t>
        </is>
      </c>
      <c r="E155" s="18" t="n">
        <v>3</v>
      </c>
      <c r="O155" s="19" t="inlineStr"/>
    </row>
    <row r="156" ht="17.5" customHeight="1">
      <c r="A156" s="16" t="inlineStr">
        <is>
          <t>10-3</t>
        </is>
      </c>
      <c r="B156" s="7" t="inlineStr">
        <is>
          <t>端末込みの料金を始める年</t>
        </is>
      </c>
      <c r="C156" s="8" t="inlineStr">
        <is>
          <t>年目</t>
        </is>
      </c>
      <c r="D156" s="17" t="inlineStr">
        <is>
          <t>仮定</t>
        </is>
      </c>
      <c r="E156" s="29" t="n">
        <v>3</v>
      </c>
      <c r="O156" s="19" t="inlineStr">
        <is>
          <t>計算詳細版 p.29（3年目から端末込みも選べる）</t>
        </is>
      </c>
    </row>
    <row r="157" ht="17.5" customHeight="1">
      <c r="A157" s="16" t="inlineStr">
        <is>
          <t>10-4</t>
        </is>
      </c>
      <c r="B157" s="7" t="inlineStr">
        <is>
          <t>端末1台の調達額</t>
        </is>
      </c>
      <c r="C157" s="8" t="inlineStr">
        <is>
          <t>万円/台</t>
        </is>
      </c>
      <c r="D157" s="17" t="inlineStr">
        <is>
          <t>公表</t>
        </is>
      </c>
      <c r="E157" s="22">
        <f>$E$26</f>
        <v>8</v>
      </c>
      <c r="O157" s="19" t="inlineStr">
        <is>
          <t>カメラ付きAIグラス（2-6）。表示付きを含む構成なら1拠点 8×8＋2×12＝88万円</t>
        </is>
      </c>
    </row>
    <row r="158" ht="17.5" customHeight="1">
      <c r="A158" s="16" t="inlineStr">
        <is>
          <t>10-5</t>
        </is>
      </c>
      <c r="B158" s="7" t="inlineStr">
        <is>
          <t>端末代を料金で回収する年数（4年まで）</t>
        </is>
      </c>
      <c r="C158" s="8" t="inlineStr">
        <is>
          <t>年</t>
        </is>
      </c>
      <c r="D158" s="17" t="inlineStr">
        <is>
          <t>仮定</t>
        </is>
      </c>
      <c r="E158" s="18" t="n">
        <v>3</v>
      </c>
      <c r="O158" s="19" t="inlineStr">
        <is>
          <t>リースと同じ3年で、買った翌年から均等に回収</t>
        </is>
      </c>
    </row>
    <row r="159" ht="17.5" customHeight="1">
      <c r="A159" s="16" t="inlineStr">
        <is>
          <t>10-6</t>
        </is>
      </c>
      <c r="B159" s="7" t="inlineStr">
        <is>
          <t>急な拠点増（新規が計画より何割多いか）</t>
        </is>
      </c>
      <c r="C159" s="8" t="inlineStr">
        <is>
          <t>割合</t>
        </is>
      </c>
      <c r="D159" s="17" t="inlineStr">
        <is>
          <t>仮定</t>
        </is>
      </c>
      <c r="E159" s="26" t="n">
        <v>0.5</v>
      </c>
      <c r="O159" s="19" t="inlineStr"/>
    </row>
    <row r="160" ht="17.5" customHeight="1">
      <c r="A160" s="16" t="inlineStr">
        <is>
          <t>10-7</t>
        </is>
      </c>
      <c r="B160" s="7" t="inlineStr">
        <is>
          <t>導入支援の着手金の割合</t>
        </is>
      </c>
      <c r="C160" s="8" t="inlineStr">
        <is>
          <t>割合</t>
        </is>
      </c>
      <c r="D160" s="17" t="inlineStr">
        <is>
          <t>見積</t>
        </is>
      </c>
      <c r="E160" s="26" t="n">
        <v>0.5</v>
      </c>
      <c r="O160" s="19" t="inlineStr">
        <is>
          <t>計算詳細版 p.13（着手金50%）</t>
        </is>
      </c>
    </row>
    <row r="161" ht="19" customHeight="1">
      <c r="A161" s="3" t="inlineStr">
        <is>
          <t>11. 市場規模（tora_market.js の SEG と SOM）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 ht="17.5" customHeight="1">
      <c r="A162" s="16" t="inlineStr">
        <is>
          <t>11-1</t>
        </is>
      </c>
      <c r="B162" s="7" t="inlineStr">
        <is>
          <t>電気工事業の許可業者</t>
        </is>
      </c>
      <c r="C162" s="8" t="inlineStr">
        <is>
          <t>社</t>
        </is>
      </c>
      <c r="D162" s="17" t="inlineStr">
        <is>
          <t>統計</t>
        </is>
      </c>
      <c r="E162" s="18" t="n">
        <v>65497</v>
      </c>
      <c r="O162" s="19" t="inlineStr">
        <is>
          <t>国土交通省「建設業許可業者数調査」令和7年3月末</t>
        </is>
      </c>
    </row>
    <row r="163" ht="28" customHeight="1">
      <c r="A163" s="5" t="n"/>
      <c r="B163" s="5" t="inlineStr">
        <is>
          <t>業種・規模</t>
        </is>
      </c>
      <c r="C163" s="5" t="n"/>
      <c r="D163" s="5" t="n"/>
      <c r="E163" s="5" t="inlineStr">
        <is>
          <t>顧客数（社）</t>
        </is>
      </c>
      <c r="F163" s="5" t="inlineStr">
        <is>
          <t>1社の年額（万円/年）</t>
        </is>
      </c>
      <c r="G163" s="5" t="inlineStr">
        <is>
          <t>ターゲット（1＝入れる）</t>
        </is>
      </c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 ht="31" customHeight="1">
      <c r="A164" s="16" t="inlineStr">
        <is>
          <t>11-2</t>
        </is>
      </c>
      <c r="B164" s="7" t="inlineStr">
        <is>
          <t>電線・ケーブル工場・大（300人以上）</t>
        </is>
      </c>
      <c r="C164" s="8" t="inlineStr">
        <is>
          <t>社・万円/年・1/0</t>
        </is>
      </c>
      <c r="D164" s="17" t="inlineStr">
        <is>
          <t>仮定</t>
        </is>
      </c>
      <c r="E164" s="18" t="n">
        <v>40</v>
      </c>
      <c r="F164" s="18" t="n">
        <v>500</v>
      </c>
      <c r="G164" s="18" t="n">
        <v>0</v>
      </c>
      <c r="O164" s="19" t="inlineStr">
        <is>
          <t>15ライン相当。353事業所の内訳は仮定</t>
        </is>
      </c>
    </row>
    <row r="165" ht="31" customHeight="1">
      <c r="A165" s="16" t="inlineStr">
        <is>
          <t>11-3</t>
        </is>
      </c>
      <c r="B165" s="7" t="inlineStr">
        <is>
          <t>電線・ケーブル工場・中（30〜299人）</t>
        </is>
      </c>
      <c r="C165" s="8" t="inlineStr">
        <is>
          <t>社・万円/年・1/0</t>
        </is>
      </c>
      <c r="D165" s="17" t="inlineStr">
        <is>
          <t>仮定</t>
        </is>
      </c>
      <c r="E165" s="18" t="n">
        <v>150</v>
      </c>
      <c r="F165" s="18" t="n">
        <v>300</v>
      </c>
      <c r="G165" s="18" t="n">
        <v>0</v>
      </c>
      <c r="O165" s="19" t="inlineStr">
        <is>
          <t>隣接市場（成長期以降）</t>
        </is>
      </c>
    </row>
    <row r="166" ht="31" customHeight="1">
      <c r="A166" s="16" t="inlineStr">
        <is>
          <t>11-4</t>
        </is>
      </c>
      <c r="B166" s="7" t="inlineStr">
        <is>
          <t>電線・ケーブル工場・小（30人未満）</t>
        </is>
      </c>
      <c r="C166" s="8" t="inlineStr">
        <is>
          <t>社・万円/年・1/0</t>
        </is>
      </c>
      <c r="D166" s="17" t="inlineStr">
        <is>
          <t>仮定</t>
        </is>
      </c>
      <c r="E166" s="18" t="n">
        <v>163</v>
      </c>
      <c r="F166" s="18" t="n">
        <v>120</v>
      </c>
      <c r="G166" s="18" t="n">
        <v>0</v>
      </c>
      <c r="O166" s="19" t="inlineStr">
        <is>
          <t>回収条件（月105人時）を満たしにくい</t>
        </is>
      </c>
    </row>
    <row r="167" ht="31" customHeight="1">
      <c r="A167" s="16" t="inlineStr">
        <is>
          <t>11-5</t>
        </is>
      </c>
      <c r="B167" s="7" t="inlineStr">
        <is>
          <t>電気工事会社・大（300人以上）</t>
        </is>
      </c>
      <c r="C167" s="8" t="inlineStr">
        <is>
          <t>社・万円/年・1/0</t>
        </is>
      </c>
      <c r="D167" s="17" t="inlineStr">
        <is>
          <t>仮定</t>
        </is>
      </c>
      <c r="E167" s="18" t="n">
        <v>300</v>
      </c>
      <c r="F167" s="18" t="n">
        <v>1500</v>
      </c>
      <c r="G167" s="18" t="n">
        <v>1</v>
      </c>
      <c r="O167" s="19" t="inlineStr">
        <is>
          <t>支店5拠点×300万円</t>
        </is>
      </c>
    </row>
    <row r="168" ht="31" customHeight="1">
      <c r="A168" s="16" t="inlineStr">
        <is>
          <t>11-6</t>
        </is>
      </c>
      <c r="B168" s="7" t="inlineStr">
        <is>
          <t>電気工事会社・中（30〜299人）</t>
        </is>
      </c>
      <c r="C168" s="8" t="inlineStr">
        <is>
          <t>社・万円/年・1/0</t>
        </is>
      </c>
      <c r="D168" s="17" t="inlineStr">
        <is>
          <t>仮定</t>
        </is>
      </c>
      <c r="E168" s="18" t="n">
        <v>2100</v>
      </c>
      <c r="F168" s="18" t="n">
        <v>300</v>
      </c>
      <c r="G168" s="18" t="n">
        <v>1</v>
      </c>
      <c r="O168" s="19" t="inlineStr">
        <is>
          <t>資本金5,000万円以上 約2,400社の内訳は仮定</t>
        </is>
      </c>
    </row>
    <row r="169" ht="31" customHeight="1">
      <c r="A169" s="16" t="inlineStr">
        <is>
          <t>11-7</t>
        </is>
      </c>
      <c r="B169" s="7" t="inlineStr">
        <is>
          <t>電気工事会社・小（30人未満）</t>
        </is>
      </c>
      <c r="C169" s="8" t="inlineStr">
        <is>
          <t>社・万円/年・1/0</t>
        </is>
      </c>
      <c r="D169" s="17" t="inlineStr">
        <is>
          <t>統計−仮定</t>
        </is>
      </c>
      <c r="E169" s="22">
        <f>$E$162-$E$167-$E$168</f>
        <v>63097</v>
      </c>
      <c r="F169" s="18" t="n">
        <v>60</v>
      </c>
      <c r="G169" s="18" t="n">
        <v>0</v>
      </c>
      <c r="O169" s="19" t="inlineStr">
        <is>
          <t>65,497社−大300−中2,100（残りを小規模とする）。65,497社の残り。ライト版を想定</t>
        </is>
      </c>
    </row>
    <row r="170" ht="31" customHeight="1">
      <c r="A170" s="16" t="inlineStr">
        <is>
          <t>11-8</t>
        </is>
      </c>
      <c r="B170" s="7" t="inlineStr">
        <is>
          <t>電気通信工事会社・大（300人以上）</t>
        </is>
      </c>
      <c r="C170" s="8" t="inlineStr">
        <is>
          <t>社・万円/年・1/0</t>
        </is>
      </c>
      <c r="D170" s="17" t="inlineStr">
        <is>
          <t>仮定</t>
        </is>
      </c>
      <c r="E170" s="18" t="n">
        <v>100</v>
      </c>
      <c r="F170" s="18" t="n">
        <v>1500</v>
      </c>
      <c r="G170" s="18" t="n">
        <v>1</v>
      </c>
      <c r="O170" s="19" t="inlineStr">
        <is>
          <t>支店5拠点×300万円</t>
        </is>
      </c>
    </row>
    <row r="171" ht="31" customHeight="1">
      <c r="A171" s="16" t="inlineStr">
        <is>
          <t>11-9</t>
        </is>
      </c>
      <c r="B171" s="7" t="inlineStr">
        <is>
          <t>電気通信工事会社・中（30〜299人）</t>
        </is>
      </c>
      <c r="C171" s="8" t="inlineStr">
        <is>
          <t>社・万円/年・1/0</t>
        </is>
      </c>
      <c r="D171" s="17" t="inlineStr">
        <is>
          <t>仮定</t>
        </is>
      </c>
      <c r="E171" s="18" t="n">
        <v>600</v>
      </c>
      <c r="F171" s="18" t="n">
        <v>300</v>
      </c>
      <c r="G171" s="18" t="n">
        <v>1</v>
      </c>
      <c r="O171" s="19" t="inlineStr">
        <is>
          <t>同規模層 約700社の内訳は仮定</t>
        </is>
      </c>
    </row>
    <row r="172" ht="28" customHeight="1">
      <c r="A172" s="5" t="n"/>
      <c r="B172" s="5" t="inlineStr">
        <is>
          <t>SOMの漏斗</t>
        </is>
      </c>
      <c r="C172" s="5" t="n"/>
      <c r="D172" s="5" t="n"/>
      <c r="E172" s="5" t="inlineStr">
        <is>
          <t>地域の割合</t>
        </is>
      </c>
      <c r="F172" s="5" t="inlineStr">
        <is>
          <t>会える率</t>
        </is>
      </c>
      <c r="G172" s="5" t="inlineStr">
        <is>
          <t>成約率</t>
        </is>
      </c>
      <c r="H172" s="5" t="inlineStr">
        <is>
          <t>1社の拠点数</t>
        </is>
      </c>
      <c r="I172" s="5" t="n"/>
      <c r="J172" s="5" t="n"/>
      <c r="K172" s="5" t="n"/>
      <c r="L172" s="5" t="n"/>
      <c r="M172" s="5" t="n"/>
      <c r="N172" s="5" t="n"/>
      <c r="O172" s="5" t="n"/>
    </row>
    <row r="173" ht="17.5" customHeight="1">
      <c r="A173" s="16" t="inlineStr">
        <is>
          <t>11-10</t>
        </is>
      </c>
      <c r="B173" s="7" t="inlineStr">
        <is>
          <t>電気工事会社・中（30〜299人）</t>
        </is>
      </c>
      <c r="C173" s="8" t="inlineStr">
        <is>
          <t>割合・拠点/社</t>
        </is>
      </c>
      <c r="D173" s="25" t="inlineStr">
        <is>
          <t>仮説</t>
        </is>
      </c>
      <c r="E173" s="20" t="n">
        <v>0.35</v>
      </c>
      <c r="F173" s="20" t="n">
        <v>0.45</v>
      </c>
      <c r="G173" s="20" t="n">
        <v>0.25</v>
      </c>
      <c r="H173" s="20" t="n">
        <v>1</v>
      </c>
      <c r="O173" s="19" t="inlineStr">
        <is>
          <t>関東の比率35%（川崎拠点から日帰り圏）。業界団体・展示会・紹介で45%に会う</t>
        </is>
      </c>
    </row>
    <row r="174" ht="17.5" customHeight="1">
      <c r="A174" s="16" t="inlineStr">
        <is>
          <t>11-11</t>
        </is>
      </c>
      <c r="B174" s="7" t="inlineStr">
        <is>
          <t>電気工事会社・大（300人以上）</t>
        </is>
      </c>
      <c r="C174" s="8" t="inlineStr">
        <is>
          <t>割合・拠点/社</t>
        </is>
      </c>
      <c r="D174" s="25" t="inlineStr">
        <is>
          <t>仮説</t>
        </is>
      </c>
      <c r="E174" s="20" t="n">
        <v>0.35</v>
      </c>
      <c r="F174" s="20" t="n">
        <v>0.1</v>
      </c>
      <c r="G174" s="20" t="n">
        <v>0.1</v>
      </c>
      <c r="H174" s="20" t="n">
        <v>5</v>
      </c>
      <c r="O174" s="19" t="inlineStr">
        <is>
          <t>大手1社を目玉の事例に（支店5拠点）。協力会社へ波及する</t>
        </is>
      </c>
    </row>
    <row r="175" ht="17.5" customHeight="1">
      <c r="A175" s="16" t="inlineStr">
        <is>
          <t>11-12</t>
        </is>
      </c>
      <c r="B175" s="7" t="inlineStr">
        <is>
          <t>参考：小規模向けライト版の台数</t>
        </is>
      </c>
      <c r="C175" s="8" t="inlineStr">
        <is>
          <t>台/拠点</t>
        </is>
      </c>
      <c r="D175" s="17" t="inlineStr">
        <is>
          <t>仮定</t>
        </is>
      </c>
      <c r="E175" s="18" t="n">
        <v>3</v>
      </c>
      <c r="O175" s="19" t="inlineStr">
        <is>
          <t>基盤＋3台。計画に入れない</t>
        </is>
      </c>
    </row>
    <row r="176" ht="17.5" customHeight="1">
      <c r="A176" s="16" t="inlineStr">
        <is>
          <t>11-13</t>
        </is>
      </c>
      <c r="B176" s="7" t="inlineStr">
        <is>
          <t>参考：小規模のうちライト版で取れる割合</t>
        </is>
      </c>
      <c r="C176" s="8" t="inlineStr">
        <is>
          <t>割合</t>
        </is>
      </c>
      <c r="D176" s="17" t="inlineStr">
        <is>
          <t>仮定</t>
        </is>
      </c>
      <c r="E176" s="23" t="n">
        <v>0.001</v>
      </c>
      <c r="F176" s="23" t="n">
        <v>0.005</v>
      </c>
      <c r="G176" s="23" t="n">
        <v>0.01</v>
      </c>
      <c r="O176" s="19" t="inlineStr">
        <is>
          <t>上振れの目安。計画に入れない</t>
        </is>
      </c>
    </row>
    <row r="177" ht="19" customHeight="1">
      <c r="A177" s="3" t="inlineStr">
        <is>
          <t>12. 照合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 ht="17.5" customHeight="1">
      <c r="A178" s="16" t="inlineStr">
        <is>
          <t>12-1</t>
        </is>
      </c>
      <c r="B178" s="7" t="inlineStr">
        <is>
          <t>一致とみなす差（絶対値）</t>
        </is>
      </c>
      <c r="C178" s="8" t="inlineStr">
        <is>
          <t>各行の単位</t>
        </is>
      </c>
      <c r="D178" s="17" t="inlineStr">
        <is>
          <t>仮定</t>
        </is>
      </c>
      <c r="E178" s="31" t="n">
        <v>1e-06</v>
      </c>
      <c r="O178" s="19" t="inlineStr">
        <is>
          <t>Excel と JavaScript はどちらも倍精度。差は計算順による丸め誤差だけ</t>
        </is>
      </c>
    </row>
  </sheetData>
  <mergeCells count="1">
    <mergeCell ref="A2:O2"/>
  </mergeCells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66" customWidth="1" min="5" max="5"/>
  </cols>
  <sheetData>
    <row r="1" ht="24" customHeight="1">
      <c r="A1" s="1" t="inlineStr">
        <is>
          <t>時給：お客様の1時間の人件費</t>
        </is>
      </c>
    </row>
    <row r="2" ht="17.5" customHeight="1">
      <c r="A2" s="2" t="inlineStr">
        <is>
          <t>1時間の人件費＝年収×会社負担÷年間総実労働時間。年収も総実労働時間も残業を含むので、分子と分母がそろっている（計算詳細版 p.5）。</t>
        </is>
      </c>
    </row>
    <row r="3" ht="30" customHeight="1">
      <c r="A3" s="5" t="inlineStr">
        <is>
          <t>項目</t>
        </is>
      </c>
      <c r="B3" s="5" t="inlineStr">
        <is>
          <t>職長（電工）</t>
        </is>
      </c>
      <c r="C3" s="5" t="inlineStr">
        <is>
          <t>施工管理者</t>
        </is>
      </c>
      <c r="D3" s="5" t="inlineStr">
        <is>
          <t>単位</t>
        </is>
      </c>
      <c r="E3" s="5" t="inlineStr">
        <is>
          <t>式（言葉）</t>
        </is>
      </c>
    </row>
    <row r="4" ht="17.5" customHeight="1">
      <c r="A4" s="7" t="inlineStr">
        <is>
          <t>年収（残業代・賞与を含む）</t>
        </is>
      </c>
      <c r="B4" s="32">
        <f>'前提'!$E$12</f>
        <v>551</v>
      </c>
      <c r="C4" s="32">
        <f>'前提'!$E$13</f>
        <v>620</v>
      </c>
      <c r="D4" s="33" t="inlineStr">
        <is>
          <t>万円/年</t>
        </is>
      </c>
      <c r="E4" s="19" t="inlineStr">
        <is>
          <t>賃金構造基本統計調査（前提1-1・1-2）</t>
        </is>
      </c>
    </row>
    <row r="5" ht="17.5" customHeight="1">
      <c r="A5" s="7" t="inlineStr">
        <is>
          <t>会社負担を含める倍率</t>
        </is>
      </c>
      <c r="B5" s="34">
        <f>'前提'!$E$14</f>
        <v>1.17</v>
      </c>
      <c r="C5" s="34">
        <f>'前提'!$E$14</f>
        <v>1.17</v>
      </c>
      <c r="D5" s="33" t="inlineStr">
        <is>
          <t>倍</t>
        </is>
      </c>
      <c r="E5" s="19" t="inlineStr">
        <is>
          <t>社会保険料の会社負担 約17%（前提1-3）</t>
        </is>
      </c>
    </row>
    <row r="6" ht="17.5" customHeight="1">
      <c r="A6" s="7" t="inlineStr">
        <is>
          <t>会社負担込みの年の人件費</t>
        </is>
      </c>
      <c r="B6" s="34">
        <f>$B$4*$B$5</f>
        <v>644.67</v>
      </c>
      <c r="C6" s="34">
        <f>$C$4*$C$5</f>
        <v>725.4</v>
      </c>
      <c r="D6" s="33" t="inlineStr">
        <is>
          <t>万円/年</t>
        </is>
      </c>
      <c r="E6" s="19" t="inlineStr">
        <is>
          <t>年収×会社負担</t>
        </is>
      </c>
    </row>
    <row r="7" ht="17.5" customHeight="1">
      <c r="A7" s="7" t="inlineStr">
        <is>
          <t>年間総実労働時間（残業を含む）</t>
        </is>
      </c>
      <c r="B7" s="32">
        <f>'前提'!$E$16</f>
        <v>1938</v>
      </c>
      <c r="C7" s="32">
        <f>'前提'!$E$16</f>
        <v>1938</v>
      </c>
      <c r="D7" s="33" t="inlineStr">
        <is>
          <t>時間/年</t>
        </is>
      </c>
      <c r="E7" s="19" t="inlineStr">
        <is>
          <t>毎月勤労統計 建設業 月161.5時間×12（前提1-5）</t>
        </is>
      </c>
    </row>
    <row r="8" ht="17.5" customHeight="1">
      <c r="A8" s="7" t="inlineStr">
        <is>
          <t>1時間の人件費</t>
        </is>
      </c>
      <c r="B8" s="35">
        <f>$B$6/$B$7</f>
        <v>0.332647058823529</v>
      </c>
      <c r="C8" s="35">
        <f>$C$6/$C$7</f>
        <v>0.374303405572755</v>
      </c>
      <c r="D8" s="33" t="inlineStr">
        <is>
          <t>万円/時間</t>
        </is>
      </c>
      <c r="E8" s="19" t="inlineStr">
        <is>
          <t>年収×会社負担÷年間総実労働時間</t>
        </is>
      </c>
    </row>
    <row r="9" ht="17.5" customHeight="1">
      <c r="A9" s="6" t="inlineStr">
        <is>
          <t>1時間の人件費（円）</t>
        </is>
      </c>
      <c r="B9" s="36">
        <f>$B$8*'前提'!$E$7</f>
        <v>3326.47058823529</v>
      </c>
      <c r="C9" s="36">
        <f>$C$8*'前提'!$E$7</f>
        <v>3743.03405572755</v>
      </c>
      <c r="D9" s="33" t="inlineStr">
        <is>
          <t>円/時間</t>
        </is>
      </c>
      <c r="E9" s="19" t="inlineStr">
        <is>
          <t>上の万円×10,000</t>
        </is>
      </c>
    </row>
    <row r="10" ht="17.5" customHeight="1">
      <c r="A10" s="7" t="inlineStr">
        <is>
          <t>1分の人件費</t>
        </is>
      </c>
      <c r="B10" s="34">
        <f>$B$9/'前提'!$E$5</f>
        <v>55.4411764705882</v>
      </c>
      <c r="C10" s="34">
        <f>$C$9/'前提'!$E$5</f>
        <v>62.3839009287926</v>
      </c>
      <c r="D10" s="33" t="inlineStr">
        <is>
          <t>円/分</t>
        </is>
      </c>
      <c r="E10" s="19" t="inlineStr">
        <is>
          <t>1時間の人件費÷60</t>
        </is>
      </c>
    </row>
    <row r="11" ht="19" customHeight="1">
      <c r="A11" s="3" t="inlineStr">
        <is>
          <t>参考（計画には入れない）</t>
        </is>
      </c>
      <c r="B11" s="4" t="n"/>
      <c r="C11" s="4" t="n"/>
      <c r="D11" s="4" t="n"/>
      <c r="E11" s="4" t="n"/>
    </row>
    <row r="12" ht="31" customHeight="1">
      <c r="A12" s="7" t="inlineStr">
        <is>
          <t>削った時間がすべて残業だった場合の1時間の価値</t>
        </is>
      </c>
      <c r="B12" s="32">
        <f>$B$9*'前提'!$E$17</f>
        <v>4158.08823529412</v>
      </c>
      <c r="C12" s="32">
        <f>$C$9*'前提'!$E$17</f>
        <v>4678.79256965944</v>
      </c>
      <c r="D12" s="33" t="inlineStr">
        <is>
          <t>円/時間</t>
        </is>
      </c>
      <c r="E12" s="19" t="inlineStr">
        <is>
          <t>1時間の人件費×残業の割増1.25</t>
        </is>
      </c>
    </row>
    <row r="13" ht="17.5" customHeight="1">
      <c r="A13" s="7" t="inlineStr">
        <is>
          <t>そのときのお客様の効果（1拠点）</t>
        </is>
      </c>
      <c r="B13" s="34">
        <f>'お客様の効果'!$C$14*'前提'!$E$17</f>
        <v>623.788699690403</v>
      </c>
      <c r="C13" s="34" t="n"/>
      <c r="D13" s="33" t="inlineStr">
        <is>
          <t>万円/年</t>
        </is>
      </c>
      <c r="E13" s="19" t="inlineStr">
        <is>
          <t>お客様の効果（年約499万円）×1.25。計画には入れない</t>
        </is>
      </c>
    </row>
    <row r="14" ht="17.5" customHeight="1">
      <c r="A14" s="7" t="inlineStr">
        <is>
          <t>参考：所定の目安の時間（1日8時間×244日）</t>
        </is>
      </c>
      <c r="B14" s="32">
        <f>'前提'!$E$18*'前提'!$E$19</f>
        <v>1952</v>
      </c>
      <c r="C14" s="32">
        <f>'前提'!$E$18*'前提'!$E$19</f>
        <v>1952</v>
      </c>
      <c r="D14" s="33" t="inlineStr">
        <is>
          <t>時間/年</t>
        </is>
      </c>
      <c r="E14" s="19" t="inlineStr">
        <is>
          <t>1日8時間×約244日。所定の目安で、実績ではない</t>
        </is>
      </c>
    </row>
    <row r="15" ht="17.5" customHeight="1">
      <c r="A15" s="7" t="inlineStr">
        <is>
          <t>参考：所定の目安で割った1時間</t>
        </is>
      </c>
      <c r="B15" s="32">
        <f>$B$6/$B$14*'前提'!$E$7</f>
        <v>3302.61270491803</v>
      </c>
      <c r="C15" s="32">
        <f>$C$6/$C$14*'前提'!$E$7</f>
        <v>3716.18852459016</v>
      </c>
      <c r="D15" s="33" t="inlineStr">
        <is>
          <t>円/時間</t>
        </is>
      </c>
      <c r="E15" s="19" t="inlineStr">
        <is>
          <t>年収×会社負担÷1,952時間。値は近いが意味が違うので使わない</t>
        </is>
      </c>
    </row>
    <row r="17" ht="17.5" customHeight="1">
      <c r="A17" s="2" t="inlineStr">
        <is>
          <t>注1：総実労働時間は毎月勤労統計の「総実労働時間」で、所定外（残業）を含む実績。</t>
        </is>
      </c>
    </row>
    <row r="18" ht="17.5" customHeight="1">
      <c r="A18" s="2" t="inlineStr">
        <is>
          <t>注2：年収（賃金構造基本統計調査）も、きまって支給する給与（残業代を含む）と賞与の合計。分子にも分母にも残業が入っている。</t>
        </is>
      </c>
    </row>
    <row r="19" ht="31" customHeight="1">
      <c r="A19" s="2" t="inlineStr">
        <is>
          <t>注3：残業を除いた所定内の時間で割ると、分母だけが小さくなり単価が高く出るので使わない。「1日8時間×約244日＝1,952時間」は所定の目安で実績ではない（値は1,938時間に近いが意味が違う）。</t>
        </is>
      </c>
    </row>
    <row r="20" ht="31" customHeight="1">
      <c r="A20" s="2" t="inlineStr">
        <is>
          <t>注4：削った時間がすべて残業なら、割増1.25倍の分だけ効果は大きくなる（年約624万円）。計画には入れない。お客様の効果は控えめに見ている。当社の売上と利益は、この単価には左右されない。</t>
        </is>
      </c>
    </row>
  </sheetData>
  <mergeCells count="5">
    <mergeCell ref="A20:E20"/>
    <mergeCell ref="A2:E2"/>
    <mergeCell ref="A19:E19"/>
    <mergeCell ref="A17:E17"/>
    <mergeCell ref="A18:E18"/>
  </mergeCells>
  <conditionalFormatting sqref="B4:C21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24" customHeight="1">
      <c r="A1" s="1" t="inlineStr">
        <is>
          <t>お客様の効果：1拠点10台で年約499万円、支払いの約1.5倍</t>
        </is>
      </c>
    </row>
    <row r="2" ht="31" customHeight="1">
      <c r="A2" s="2" t="inlineStr">
        <is>
          <t>効果はAIグラスを掛けた班の分だけで数える（社員全員が減るとは数えない）。お客様の支払いは当社への利用料とグラスのリース。tora_v2.js の customerValue() と同じ式（計算詳細版 p.6〜8）。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" t="inlineStr">
        <is>
          <t>値</t>
        </is>
      </c>
      <c r="D3" s="5" t="n"/>
      <c r="E3" s="5" t="n"/>
      <c r="F3" s="5" t="inlineStr">
        <is>
          <t>式（言葉）</t>
        </is>
      </c>
    </row>
    <row r="4" ht="19" customHeight="1">
      <c r="A4" s="3" t="inlineStr">
        <is>
          <t>1台1日の効果</t>
        </is>
      </c>
      <c r="B4" s="4" t="n"/>
      <c r="C4" s="4" t="n"/>
      <c r="D4" s="4" t="n"/>
      <c r="E4" s="4" t="n"/>
      <c r="F4" s="4" t="n"/>
    </row>
    <row r="5" ht="17.5" customHeight="1">
      <c r="A5" s="7" t="inlineStr">
        <is>
          <t>職長の削減</t>
        </is>
      </c>
      <c r="B5" s="8" t="inlineStr">
        <is>
          <t>分/台/日</t>
        </is>
      </c>
      <c r="C5" s="32">
        <f>'前提'!$E$35</f>
        <v>15</v>
      </c>
      <c r="D5" s="37" t="inlineStr">
        <is>
          <t>日報・撮影・黒板（前提3-1・仮説）</t>
        </is>
      </c>
    </row>
    <row r="6" ht="17.5" customHeight="1">
      <c r="A6" s="7" t="inlineStr">
        <is>
          <t>施工管理者の削減</t>
        </is>
      </c>
      <c r="B6" s="8" t="inlineStr">
        <is>
          <t>分/台/日</t>
        </is>
      </c>
      <c r="C6" s="32">
        <f>'前提'!$E$36</f>
        <v>20</v>
      </c>
      <c r="D6" s="37" t="inlineStr">
        <is>
          <t>写真整理・写真台帳（前提3-2・仮説）</t>
        </is>
      </c>
    </row>
    <row r="7" ht="17.5" customHeight="1">
      <c r="A7" s="7" t="inlineStr">
        <is>
          <t>職長の1時間の人件費</t>
        </is>
      </c>
      <c r="B7" s="8" t="inlineStr">
        <is>
          <t>円/時間</t>
        </is>
      </c>
      <c r="C7" s="34">
        <f>'時給'!$B$9</f>
        <v>3326.47058823529</v>
      </c>
      <c r="D7" s="37" t="inlineStr">
        <is>
          <t>時給シート</t>
        </is>
      </c>
    </row>
    <row r="8" ht="17.5" customHeight="1">
      <c r="A8" s="7" t="inlineStr">
        <is>
          <t>施工管理者の1時間の人件費</t>
        </is>
      </c>
      <c r="B8" s="8" t="inlineStr">
        <is>
          <t>円/時間</t>
        </is>
      </c>
      <c r="C8" s="34">
        <f>'時給'!$C$9</f>
        <v>3743.03405572755</v>
      </c>
      <c r="D8" s="37" t="inlineStr">
        <is>
          <t>時給シート</t>
        </is>
      </c>
    </row>
    <row r="9" ht="17.5" customHeight="1">
      <c r="A9" s="6" t="inlineStr">
        <is>
          <t>1台1日の効果</t>
        </is>
      </c>
      <c r="B9" s="8" t="inlineStr">
        <is>
          <t>円/台/日</t>
        </is>
      </c>
      <c r="C9" s="36">
        <f>$C$5/'前提'!$E$5*$C$7+$C$6/'前提'!$E$5*$C$8</f>
        <v>2079.29566563468</v>
      </c>
      <c r="D9" s="37" t="inlineStr">
        <is>
          <t>15分÷60×職長の時給＋20分÷60×施工管理者の時給</t>
        </is>
      </c>
    </row>
    <row r="10" ht="17.5" customHeight="1">
      <c r="A10" s="7" t="inlineStr">
        <is>
          <t>1台1日の効果（万円）</t>
        </is>
      </c>
      <c r="B10" s="8" t="inlineStr">
        <is>
          <t>万円/台/日</t>
        </is>
      </c>
      <c r="C10" s="35">
        <f>$C$9/'前提'!$E$7</f>
        <v>0.207929566563468</v>
      </c>
      <c r="D10" s="37" t="inlineStr">
        <is>
          <t>上の円÷10,000</t>
        </is>
      </c>
    </row>
    <row r="11" ht="19" customHeight="1">
      <c r="A11" s="3" t="inlineStr">
        <is>
          <t>1拠点・1年の効果</t>
        </is>
      </c>
      <c r="B11" s="4" t="n"/>
      <c r="C11" s="4" t="n"/>
      <c r="D11" s="4" t="n"/>
      <c r="E11" s="4" t="n"/>
      <c r="F11" s="4" t="n"/>
    </row>
    <row r="12" ht="17.5" customHeight="1">
      <c r="A12" s="7" t="inlineStr">
        <is>
          <t>1拠点の台数</t>
        </is>
      </c>
      <c r="B12" s="8" t="inlineStr">
        <is>
          <t>台/拠点</t>
        </is>
      </c>
      <c r="C12" s="32">
        <f>'前提'!$E$21</f>
        <v>10</v>
      </c>
      <c r="D12" s="37" t="inlineStr">
        <is>
          <t>前提2-1</t>
        </is>
      </c>
    </row>
    <row r="13" ht="17.5" customHeight="1">
      <c r="A13" s="7" t="inlineStr">
        <is>
          <t>端末を使う日数</t>
        </is>
      </c>
      <c r="B13" s="8" t="inlineStr">
        <is>
          <t>日/年</t>
        </is>
      </c>
      <c r="C13" s="32">
        <f>'前提'!$E$22</f>
        <v>240</v>
      </c>
      <c r="D13" s="37" t="inlineStr">
        <is>
          <t>前提2-2。上限に近い想定</t>
        </is>
      </c>
    </row>
    <row r="14" ht="17.5" customHeight="1">
      <c r="A14" s="6" t="inlineStr">
        <is>
          <t>お客様の効果（年）</t>
        </is>
      </c>
      <c r="B14" s="8" t="inlineStr">
        <is>
          <t>万円/年</t>
        </is>
      </c>
      <c r="C14" s="36">
        <f>$C$10*$C$12*$C$13</f>
        <v>499.030959752322</v>
      </c>
      <c r="D14" s="37" t="inlineStr">
        <is>
          <t>1台1日の効果×台数×日数</t>
        </is>
      </c>
    </row>
    <row r="15" ht="17.5" customHeight="1">
      <c r="A15" s="7" t="inlineStr">
        <is>
          <t>1台1日の削減の合計</t>
        </is>
      </c>
      <c r="B15" s="8" t="inlineStr">
        <is>
          <t>分/台/日</t>
        </is>
      </c>
      <c r="C15" s="32">
        <f>$C$5+$C$6</f>
        <v>35</v>
      </c>
      <c r="D15" s="37" t="inlineStr">
        <is>
          <t>職長15分＋施工管理者20分</t>
        </is>
      </c>
    </row>
    <row r="16" ht="17.5" customHeight="1">
      <c r="A16" s="7" t="inlineStr">
        <is>
          <t>浮く時間（分）</t>
        </is>
      </c>
      <c r="B16" s="8" t="inlineStr">
        <is>
          <t>分/年</t>
        </is>
      </c>
      <c r="C16" s="32">
        <f>$C$15*$C$12*$C$13</f>
        <v>84000</v>
      </c>
      <c r="D16" s="37" t="inlineStr">
        <is>
          <t>35分×10台×240日</t>
        </is>
      </c>
    </row>
    <row r="17" ht="17.5" customHeight="1">
      <c r="A17" s="7" t="inlineStr">
        <is>
          <t>浮く時間（時間）</t>
        </is>
      </c>
      <c r="B17" s="8" t="inlineStr">
        <is>
          <t>時間/年</t>
        </is>
      </c>
      <c r="C17" s="38">
        <f>$C$16/'前提'!$E$5</f>
        <v>1400</v>
      </c>
      <c r="D17" s="37" t="inlineStr">
        <is>
          <t>上の分÷60</t>
        </is>
      </c>
    </row>
    <row r="18" ht="19" customHeight="1">
      <c r="A18" s="3" t="inlineStr">
        <is>
          <t>お客様の支払い（1拠点・2年目以降の年額）</t>
        </is>
      </c>
      <c r="B18" s="4" t="n"/>
      <c r="C18" s="4" t="n"/>
      <c r="D18" s="4" t="n"/>
      <c r="E18" s="4" t="n"/>
      <c r="F18" s="4" t="n"/>
    </row>
    <row r="19" ht="17.5" customHeight="1">
      <c r="A19" s="7" t="inlineStr">
        <is>
          <t>当社：基盤</t>
        </is>
      </c>
      <c r="B19" s="8" t="inlineStr">
        <is>
          <t>万円/年</t>
        </is>
      </c>
      <c r="C19" s="32">
        <f>'値段と原価'!$C$5</f>
        <v>60</v>
      </c>
      <c r="D19" s="37" t="inlineStr">
        <is>
          <t>月5万円×12（値段と原価。値段の倍率を反映）</t>
        </is>
      </c>
    </row>
    <row r="20" ht="17.5" customHeight="1">
      <c r="A20" s="7" t="inlineStr">
        <is>
          <t>当社：端末ライセンス×台数</t>
        </is>
      </c>
      <c r="B20" s="8" t="inlineStr">
        <is>
          <t>万円/年</t>
        </is>
      </c>
      <c r="C20" s="32">
        <f>'値段と原価'!$C$6*$C$12</f>
        <v>240</v>
      </c>
      <c r="D20" s="37" t="inlineStr">
        <is>
          <t>月2万円×12×10台</t>
        </is>
      </c>
    </row>
    <row r="21" ht="17.5" customHeight="1">
      <c r="A21" s="7" t="inlineStr">
        <is>
          <t>当社への利用料</t>
        </is>
      </c>
      <c r="B21" s="8" t="inlineStr">
        <is>
          <t>万円/年</t>
        </is>
      </c>
      <c r="C21" s="32">
        <f>$C$19+$C$20</f>
        <v>300</v>
      </c>
      <c r="D21" s="37" t="inlineStr">
        <is>
          <t>基盤＋端末ライセンス</t>
        </is>
      </c>
    </row>
    <row r="22" ht="17.5" customHeight="1">
      <c r="A22" s="7" t="inlineStr">
        <is>
          <t>リース：カメラ付きAIグラス</t>
        </is>
      </c>
      <c r="B22" s="8" t="inlineStr">
        <is>
          <t>万円/年</t>
        </is>
      </c>
      <c r="C22" s="34">
        <f>'前提'!$E$29*'前提'!$E$31</f>
        <v>23.04</v>
      </c>
      <c r="D22" s="37" t="inlineStr">
        <is>
          <t>8台×(8万円×3%×12)</t>
        </is>
      </c>
    </row>
    <row r="23" ht="17.5" customHeight="1">
      <c r="A23" s="7" t="inlineStr">
        <is>
          <t>リース：表示付きARグラス</t>
        </is>
      </c>
      <c r="B23" s="8" t="inlineStr">
        <is>
          <t>万円/年</t>
        </is>
      </c>
      <c r="C23" s="34">
        <f>'前提'!$E$30*'前提'!$E$32</f>
        <v>8.64</v>
      </c>
      <c r="D23" s="37" t="inlineStr">
        <is>
          <t>2台×(12万円×3%×12)</t>
        </is>
      </c>
    </row>
    <row r="24" ht="17.5" customHeight="1">
      <c r="A24" s="7" t="inlineStr">
        <is>
          <t>リースの合計</t>
        </is>
      </c>
      <c r="B24" s="8" t="inlineStr">
        <is>
          <t>万円/年</t>
        </is>
      </c>
      <c r="C24" s="34">
        <f>$C$22+$C$23</f>
        <v>31.68</v>
      </c>
      <c r="D24" s="37" t="inlineStr">
        <is>
          <t>お客様からリース会社へ払う（当社の売上ではない）</t>
        </is>
      </c>
    </row>
    <row r="25" ht="17.5" customHeight="1">
      <c r="A25" s="6" t="inlineStr">
        <is>
          <t>お客様の支払いの合計</t>
        </is>
      </c>
      <c r="B25" s="8" t="inlineStr">
        <is>
          <t>万円/年</t>
        </is>
      </c>
      <c r="C25" s="36">
        <f>$C$21+$C$24</f>
        <v>331.68</v>
      </c>
      <c r="D25" s="37" t="inlineStr">
        <is>
          <t>利用料＋リース</t>
        </is>
      </c>
    </row>
    <row r="26" ht="17.5" customHeight="1">
      <c r="A26" s="6" t="inlineStr">
        <is>
          <t>倍率（効果÷支払い）</t>
        </is>
      </c>
      <c r="B26" s="8" t="inlineStr">
        <is>
          <t>倍</t>
        </is>
      </c>
      <c r="C26" s="39">
        <f>$C$14/$C$25</f>
        <v>1.50455547441004</v>
      </c>
      <c r="D26" s="37" t="inlineStr">
        <is>
          <t>お客様の効果÷支払いの合計</t>
        </is>
      </c>
    </row>
    <row r="27" ht="19" customHeight="1">
      <c r="A27" s="3" t="inlineStr">
        <is>
          <t>元が取れる分（1台1日に何分減れば支払いと同じになるか）</t>
        </is>
      </c>
      <c r="B27" s="4" t="n"/>
      <c r="C27" s="4" t="n"/>
      <c r="D27" s="4" t="n"/>
      <c r="E27" s="4" t="n"/>
      <c r="F27" s="4" t="n"/>
    </row>
    <row r="28" ht="17.5" customHeight="1">
      <c r="A28" s="7" t="inlineStr">
        <is>
          <t>1台1日の支払い</t>
        </is>
      </c>
      <c r="B28" s="8" t="inlineStr">
        <is>
          <t>円/台/日</t>
        </is>
      </c>
      <c r="C28" s="34">
        <f>$C$25/($C$12*$C$13)*'前提'!$E$7</f>
        <v>1382</v>
      </c>
      <c r="D28" s="37" t="inlineStr">
        <is>
          <t>支払い÷(台数×日数)</t>
        </is>
      </c>
    </row>
    <row r="29" ht="17.5" customHeight="1">
      <c r="A29" s="7" t="inlineStr">
        <is>
          <t>同じ配分での1分の人件費</t>
        </is>
      </c>
      <c r="B29" s="8" t="inlineStr">
        <is>
          <t>円/分</t>
        </is>
      </c>
      <c r="C29" s="40">
        <f>($C$7*$C$5/$C$15+$C$8*$C$6/$C$15)/'前提'!$E$5</f>
        <v>59.4084475895621</v>
      </c>
      <c r="D29" s="37" t="inlineStr">
        <is>
          <t>(職長の時給×15/35＋施工管理者の時給×20/35)÷60</t>
        </is>
      </c>
    </row>
    <row r="30" ht="17.5" customHeight="1">
      <c r="A30" s="6" t="inlineStr">
        <is>
          <t>元が取れる分</t>
        </is>
      </c>
      <c r="B30" s="8" t="inlineStr">
        <is>
          <t>分/台/日</t>
        </is>
      </c>
      <c r="C30" s="36">
        <f>$C$28/$C$29</f>
        <v>23.2626849559828</v>
      </c>
      <c r="D30" s="37" t="inlineStr">
        <is>
          <t>1台1日の支払い÷同じ配分での1分の人件費</t>
        </is>
      </c>
    </row>
    <row r="31" ht="19" customHeight="1">
      <c r="A31" s="3" t="inlineStr">
        <is>
          <t>感度表：使う日数×1台1日の削減</t>
        </is>
      </c>
      <c r="B31" s="4" t="n"/>
      <c r="C31" s="4" t="n"/>
      <c r="D31" s="4" t="n"/>
      <c r="E31" s="4" t="n"/>
      <c r="F31" s="4" t="n"/>
    </row>
    <row r="32" ht="34" customHeight="1">
      <c r="A32" s="5" t="inlineStr">
        <is>
          <t>年の効果
使う日数＼1台1日の削減（職長＋施工管理）</t>
        </is>
      </c>
      <c r="B32" s="5" t="inlineStr">
        <is>
          <t>単位</t>
        </is>
      </c>
      <c r="C32" s="5" t="str">
        <f>TEXT('前提'!$E$43+'前提'!$E$44,"0")&amp;"分"&amp;CHAR(10)&amp;"（"&amp;'前提'!$E$43&amp;"＋"&amp;'前提'!$E$44&amp;"）"</f>
        <v>25分
（10＋15）</v>
      </c>
      <c r="D32" s="5" t="str">
        <f>TEXT('前提'!$F$43+'前提'!$F$44,"0")&amp;"分"&amp;CHAR(10)&amp;"（"&amp;'前提'!$F$43&amp;"＋"&amp;'前提'!$F$44&amp;"）"</f>
        <v>35分
（15＋20）</v>
      </c>
      <c r="E32" s="5" t="str">
        <f>TEXT('前提'!$G$43+'前提'!$G$44,"0")&amp;"分"&amp;CHAR(10)&amp;"（"&amp;'前提'!$G$43&amp;"＋"&amp;'前提'!$G$44&amp;"）"</f>
        <v>60分
（25＋35）</v>
      </c>
      <c r="F32" s="5" t="inlineStr">
        <is>
          <t>式（言葉）</t>
        </is>
      </c>
    </row>
    <row r="33" ht="17.5" customHeight="1">
      <c r="A33" s="41">
        <f>'前提'!$E$42</f>
        <v>180</v>
      </c>
      <c r="B33" s="42" t="inlineStr">
        <is>
          <t>万円/年</t>
        </is>
      </c>
      <c r="C33" s="38">
        <f>('前提'!$E$43/'前提'!$E$5*$C$7+'前提'!$E$44/'前提'!$E$5*$C$8)/'前提'!$E$7*$C$12*'前提'!$E$42</f>
        <v>268.230650154799</v>
      </c>
      <c r="D33" s="38">
        <f>('前提'!$F$43/'前提'!$E$5*$C$7+'前提'!$F$44/'前提'!$E$5*$C$8)/'前提'!$E$7*$C$12*'前提'!$E$42</f>
        <v>374.273219814242</v>
      </c>
      <c r="E33" s="38">
        <f>('前提'!$G$43/'前提'!$E$5*$C$7+'前提'!$G$44/'前提'!$E$5*$C$8)/'前提'!$E$7*$C$12*'前提'!$E$42</f>
        <v>642.50386996904</v>
      </c>
      <c r="F33" s="37" t="inlineStr">
        <is>
          <t>(分÷60×時給)の合計×台数×日数÷10,000</t>
        </is>
      </c>
    </row>
    <row r="34" ht="17.5" customHeight="1">
      <c r="A34" s="41">
        <f>'前提'!$F$42</f>
        <v>200</v>
      </c>
      <c r="B34" s="42" t="inlineStr">
        <is>
          <t>万円/年</t>
        </is>
      </c>
      <c r="C34" s="38">
        <f>('前提'!$E$43/'前提'!$E$5*$C$7+'前提'!$E$44/'前提'!$E$5*$C$8)/'前提'!$E$7*$C$12*'前提'!$F$42</f>
        <v>298.034055727554</v>
      </c>
      <c r="D34" s="38">
        <f>('前提'!$F$43/'前提'!$E$5*$C$7+'前提'!$F$44/'前提'!$E$5*$C$8)/'前提'!$E$7*$C$12*'前提'!$F$42</f>
        <v>415.859133126935</v>
      </c>
      <c r="E34" s="38">
        <f>('前提'!$G$43/'前提'!$E$5*$C$7+'前提'!$G$44/'前提'!$E$5*$C$8)/'前提'!$E$7*$C$12*'前提'!$F$42</f>
        <v>713.893188854489</v>
      </c>
      <c r="F34" s="37" t="inlineStr">
        <is>
          <t>(分÷60×時給)の合計×台数×日数÷10,000</t>
        </is>
      </c>
    </row>
    <row r="35" ht="17.5" customHeight="1">
      <c r="A35" s="41">
        <f>'前提'!$G$42</f>
        <v>220</v>
      </c>
      <c r="B35" s="42" t="inlineStr">
        <is>
          <t>万円/年</t>
        </is>
      </c>
      <c r="C35" s="38">
        <f>('前提'!$E$43/'前提'!$E$5*$C$7+'前提'!$E$44/'前提'!$E$5*$C$8)/'前提'!$E$7*$C$12*'前提'!$G$42</f>
        <v>327.83746130031</v>
      </c>
      <c r="D35" s="38">
        <f>('前提'!$F$43/'前提'!$E$5*$C$7+'前提'!$F$44/'前提'!$E$5*$C$8)/'前提'!$E$7*$C$12*'前提'!$G$42</f>
        <v>457.445046439629</v>
      </c>
      <c r="E35" s="38">
        <f>('前提'!$G$43/'前提'!$E$5*$C$7+'前提'!$G$44/'前提'!$E$5*$C$8)/'前提'!$E$7*$C$12*'前提'!$G$42</f>
        <v>785.282507739938</v>
      </c>
      <c r="F35" s="37" t="inlineStr">
        <is>
          <t>(分÷60×時給)の合計×台数×日数÷10,000</t>
        </is>
      </c>
    </row>
    <row r="36" ht="17.5" customHeight="1">
      <c r="A36" s="41">
        <f>'前提'!$H$42</f>
        <v>240</v>
      </c>
      <c r="B36" s="42" t="inlineStr">
        <is>
          <t>万円/年</t>
        </is>
      </c>
      <c r="C36" s="38">
        <f>('前提'!$E$43/'前提'!$E$5*$C$7+'前提'!$E$44/'前提'!$E$5*$C$8)/'前提'!$E$7*$C$12*'前提'!$H$42</f>
        <v>357.640866873065</v>
      </c>
      <c r="D36" s="38">
        <f>('前提'!$F$43/'前提'!$E$5*$C$7+'前提'!$F$44/'前提'!$E$5*$C$8)/'前提'!$E$7*$C$12*'前提'!$H$42</f>
        <v>499.030959752322</v>
      </c>
      <c r="E36" s="38">
        <f>('前提'!$G$43/'前提'!$E$5*$C$7+'前提'!$G$44/'前提'!$E$5*$C$8)/'前提'!$E$7*$C$12*'前提'!$H$42</f>
        <v>856.671826625387</v>
      </c>
      <c r="F36" s="37" t="inlineStr">
        <is>
          <t>(分÷60×時給)の合計×台数×日数÷10,000</t>
        </is>
      </c>
    </row>
    <row r="37" ht="34" customHeight="1">
      <c r="A37" s="5" t="inlineStr">
        <is>
          <t>倍率
使う日数＼1台1日の削減（職長＋施工管理）</t>
        </is>
      </c>
      <c r="B37" s="5" t="inlineStr">
        <is>
          <t>単位</t>
        </is>
      </c>
      <c r="C37" s="5" t="str">
        <f>TEXT('前提'!$E$43+'前提'!$E$44,"0")&amp;"分"&amp;CHAR(10)&amp;"（"&amp;'前提'!$E$43&amp;"＋"&amp;'前提'!$E$44&amp;"）"</f>
        <v>25分
（10＋15）</v>
      </c>
      <c r="D37" s="5" t="str">
        <f>TEXT('前提'!$F$43+'前提'!$F$44,"0")&amp;"分"&amp;CHAR(10)&amp;"（"&amp;'前提'!$F$43&amp;"＋"&amp;'前提'!$F$44&amp;"）"</f>
        <v>35分
（15＋20）</v>
      </c>
      <c r="E37" s="5" t="str">
        <f>TEXT('前提'!$G$43+'前提'!$G$44,"0")&amp;"分"&amp;CHAR(10)&amp;"（"&amp;'前提'!$G$43&amp;"＋"&amp;'前提'!$G$44&amp;"）"</f>
        <v>60分
（25＋35）</v>
      </c>
      <c r="F37" s="5" t="inlineStr">
        <is>
          <t>式（言葉）</t>
        </is>
      </c>
    </row>
    <row r="38" ht="17.5" customHeight="1">
      <c r="A38" s="41">
        <f>'前提'!$E$42</f>
        <v>180</v>
      </c>
      <c r="B38" s="42" t="inlineStr">
        <is>
          <t>倍</t>
        </is>
      </c>
      <c r="C38" s="34">
        <f>'お客様の効果'!$C$33/$C$25</f>
        <v>0.808703117929326</v>
      </c>
      <c r="D38" s="34">
        <f>'お客様の効果'!$D$33/$C$25</f>
        <v>1.12841660580753</v>
      </c>
      <c r="E38" s="34">
        <f>'お客様の効果'!$E$33/$C$25</f>
        <v>1.93711972373686</v>
      </c>
      <c r="F38" s="37" t="inlineStr">
        <is>
          <t>年の効果÷お客様の支払い（331.68万円）</t>
        </is>
      </c>
    </row>
    <row r="39" ht="17.5" customHeight="1">
      <c r="A39" s="41">
        <f>'前提'!$F$42</f>
        <v>200</v>
      </c>
      <c r="B39" s="42" t="inlineStr">
        <is>
          <t>倍</t>
        </is>
      </c>
      <c r="C39" s="34">
        <f>'お客様の効果'!$C$34/$C$25</f>
        <v>0.898559019921473</v>
      </c>
      <c r="D39" s="34">
        <f>'お客様の効果'!$D$34/$C$25</f>
        <v>1.25379622867503</v>
      </c>
      <c r="E39" s="34">
        <f>'お客様の効果'!$E$34/$C$25</f>
        <v>2.15235524859651</v>
      </c>
      <c r="F39" s="37" t="inlineStr">
        <is>
          <t>年の効果÷お客様の支払い（331.68万円）</t>
        </is>
      </c>
    </row>
    <row r="40" ht="17.5" customHeight="1">
      <c r="A40" s="41">
        <f>'前提'!$G$42</f>
        <v>220</v>
      </c>
      <c r="B40" s="42" t="inlineStr">
        <is>
          <t>倍</t>
        </is>
      </c>
      <c r="C40" s="34">
        <f>'お客様の効果'!$C$35/$C$25</f>
        <v>0.988414921913621</v>
      </c>
      <c r="D40" s="34">
        <f>'お客様の効果'!$D$35/$C$25</f>
        <v>1.37917585154254</v>
      </c>
      <c r="E40" s="34">
        <f>'お客様の効果'!$E$35/$C$25</f>
        <v>2.36759077345616</v>
      </c>
      <c r="F40" s="37" t="inlineStr">
        <is>
          <t>年の効果÷お客様の支払い（331.68万円）</t>
        </is>
      </c>
    </row>
    <row r="41" ht="17.5" customHeight="1">
      <c r="A41" s="41">
        <f>'前提'!$H$42</f>
        <v>240</v>
      </c>
      <c r="B41" s="42" t="inlineStr">
        <is>
          <t>倍</t>
        </is>
      </c>
      <c r="C41" s="34">
        <f>'お客様の効果'!$C$36/$C$25</f>
        <v>1.07827082390577</v>
      </c>
      <c r="D41" s="34">
        <f>'お客様の効果'!$D$36/$C$25</f>
        <v>1.50455547441004</v>
      </c>
      <c r="E41" s="34">
        <f>'お客様の効果'!$E$36/$C$25</f>
        <v>2.58282629831581</v>
      </c>
      <c r="F41" s="37" t="inlineStr">
        <is>
          <t>年の効果÷お客様の支払い（331.68万円）</t>
        </is>
      </c>
    </row>
    <row r="42" ht="34" customHeight="1">
      <c r="A42" s="5" t="inlineStr">
        <is>
          <t>元が取れる分
使う日数</t>
        </is>
      </c>
      <c r="B42" s="5" t="inlineStr">
        <is>
          <t>単位</t>
        </is>
      </c>
      <c r="C42" s="5" t="inlineStr">
        <is>
          <t>元が取れる分</t>
        </is>
      </c>
      <c r="D42" s="5" t="inlineStr">
        <is>
          <t>式（言葉）</t>
        </is>
      </c>
    </row>
    <row r="43" ht="17.5" customHeight="1">
      <c r="A43" s="41">
        <f>'前提'!$E$42</f>
        <v>180</v>
      </c>
      <c r="B43" s="42" t="inlineStr">
        <is>
          <t>分/台/日</t>
        </is>
      </c>
      <c r="C43" s="38">
        <f>$C$25/($C$12*'前提'!$E$42)*'前提'!$E$7/$C$29</f>
        <v>31.0169132746437</v>
      </c>
      <c r="D43" s="37" t="inlineStr">
        <is>
          <t>支払い÷(台数×日数)÷同じ配分での1分の人件費（削減の量には左右されない）</t>
        </is>
      </c>
    </row>
    <row r="44" ht="17.5" customHeight="1">
      <c r="A44" s="41">
        <f>'前提'!$F$42</f>
        <v>200</v>
      </c>
      <c r="B44" s="42" t="inlineStr">
        <is>
          <t>分/台/日</t>
        </is>
      </c>
      <c r="C44" s="38">
        <f>$C$25/($C$12*'前提'!$F$42)*'前提'!$E$7/$C$29</f>
        <v>27.9152219471794</v>
      </c>
      <c r="D44" s="37" t="inlineStr">
        <is>
          <t>支払い÷(台数×日数)÷同じ配分での1分の人件費（削減の量には左右されない）</t>
        </is>
      </c>
    </row>
    <row r="45" ht="17.5" customHeight="1">
      <c r="A45" s="41">
        <f>'前提'!$G$42</f>
        <v>220</v>
      </c>
      <c r="B45" s="42" t="inlineStr">
        <is>
          <t>分/台/日</t>
        </is>
      </c>
      <c r="C45" s="38">
        <f>$C$25/($C$12*'前提'!$G$42)*'前提'!$E$7/$C$29</f>
        <v>25.3774744974358</v>
      </c>
      <c r="D45" s="37" t="inlineStr">
        <is>
          <t>支払い÷(台数×日数)÷同じ配分での1分の人件費（削減の量には左右されない）</t>
        </is>
      </c>
    </row>
    <row r="46" ht="17.5" customHeight="1">
      <c r="A46" s="41">
        <f>'前提'!$H$42</f>
        <v>240</v>
      </c>
      <c r="B46" s="42" t="inlineStr">
        <is>
          <t>分/台/日</t>
        </is>
      </c>
      <c r="C46" s="38">
        <f>$C$25/($C$12*'前提'!$H$42)*'前提'!$E$7/$C$29</f>
        <v>23.2626849559828</v>
      </c>
      <c r="D46" s="37" t="inlineStr">
        <is>
          <t>支払い÷(台数×日数)÷同じ配分での1分の人件費（削減の量には左右されない）</t>
        </is>
      </c>
    </row>
    <row r="47" ht="31" customHeight="1">
      <c r="A47" s="2" t="inlineStr">
        <is>
          <t>注：240日は上限に近い想定。雨天・現場の切れ目・端末を使わない日があれば、現場の稼働日数に合わせて減る。日数が減ると効果は比例して減り、元が取れる分は増える。25分と60分の内訳は tora_v2.js の感度表と同じ（10＋15、25＋35）。</t>
        </is>
      </c>
    </row>
    <row r="48" ht="19" customHeight="1">
      <c r="A48" s="3" t="inlineStr">
        <is>
          <t>手戻りの削減（参考：計画にも提案の金額にも入れない）</t>
        </is>
      </c>
      <c r="B48" s="4" t="n"/>
      <c r="C48" s="4" t="n"/>
      <c r="D48" s="4" t="n"/>
      <c r="E48" s="4" t="n"/>
      <c r="F48" s="4" t="n"/>
    </row>
    <row r="49" ht="17.5" customHeight="1">
      <c r="A49" s="6" t="inlineStr">
        <is>
          <t>手戻りの削減（参考）</t>
        </is>
      </c>
      <c r="B49" s="8" t="inlineStr">
        <is>
          <t>万円/年</t>
        </is>
      </c>
      <c r="C49" s="43">
        <f>'前提'!$E$37*'前提'!$E$38*'前提'!$E$39*'前提'!$E$40</f>
        <v>360</v>
      </c>
      <c r="D49" s="37" t="inlineStr">
        <is>
          <t>完成工事高30億円×手戻り2%×対象工種30%×削減20%</t>
        </is>
      </c>
    </row>
    <row r="50" ht="17.5" customHeight="1">
      <c r="A50" s="7" t="inlineStr">
        <is>
          <t>手戻りを足した場合の倍率（参考）</t>
        </is>
      </c>
      <c r="B50" s="8" t="inlineStr">
        <is>
          <t>倍</t>
        </is>
      </c>
      <c r="C50" s="34">
        <f>($C$14+$C$49)/$C$25</f>
        <v>2.58993897658081</v>
      </c>
      <c r="D50" s="37" t="inlineStr">
        <is>
          <t>(お客様の効果＋手戻り)÷支払い</t>
        </is>
      </c>
    </row>
    <row r="51" ht="17.5" customHeight="1">
      <c r="A51" s="2" t="inlineStr">
        <is>
          <t>注：手戻り率は各社の現場事情で大きく違い、検証の費用も見合わない可能性があるため、計画にも提案の金額にも入れない。</t>
        </is>
      </c>
    </row>
    <row r="52" ht="17.5" customHeight="1">
      <c r="A52" s="2" t="inlineStr">
        <is>
          <t>注：「月6.5時間（書類電子化の実績）」は原典を確認できておらず、ARグラスの効果とも違うので使わない。</t>
        </is>
      </c>
    </row>
  </sheetData>
  <mergeCells count="34">
    <mergeCell ref="D13:F13"/>
    <mergeCell ref="D17:F17"/>
    <mergeCell ref="D7:F7"/>
    <mergeCell ref="D16:F16"/>
    <mergeCell ref="D43:F43"/>
    <mergeCell ref="A2:F2"/>
    <mergeCell ref="D28:F28"/>
    <mergeCell ref="A47:F47"/>
    <mergeCell ref="D12:F12"/>
    <mergeCell ref="D9:F9"/>
    <mergeCell ref="D30:F30"/>
    <mergeCell ref="D8:F8"/>
    <mergeCell ref="D25:F25"/>
    <mergeCell ref="D15:F15"/>
    <mergeCell ref="D24:F24"/>
    <mergeCell ref="D42:F42"/>
    <mergeCell ref="A52:F52"/>
    <mergeCell ref="D14:F14"/>
    <mergeCell ref="D29:F29"/>
    <mergeCell ref="D5:F5"/>
    <mergeCell ref="D23:F23"/>
    <mergeCell ref="D50:F50"/>
    <mergeCell ref="D26:F26"/>
    <mergeCell ref="D44:F44"/>
    <mergeCell ref="D20:F20"/>
    <mergeCell ref="D10:F10"/>
    <mergeCell ref="A51:F51"/>
    <mergeCell ref="D19:F19"/>
    <mergeCell ref="D46:F46"/>
    <mergeCell ref="D22:F22"/>
    <mergeCell ref="D45:F45"/>
    <mergeCell ref="D21:F21"/>
    <mergeCell ref="D6:F6"/>
    <mergeCell ref="D49:F49"/>
  </mergeCells>
  <conditionalFormatting sqref="C4:E53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  <rowBreaks count="2" manualBreakCount="2">
    <brk id="26" min="0" max="16383" man="1"/>
    <brk id="4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24" customHeight="1">
      <c r="A1" s="1" t="inlineStr">
        <is>
          <t>値段と原価：1拠点300万円、原価84万円、粗利216万円（72%）</t>
        </is>
      </c>
    </row>
    <row r="2" ht="31" customHeight="1">
      <c r="A2" s="2" t="inlineStr">
        <is>
          <t>1台の原価は、クラウド・AIの公表単価から積み上げて検算した。計画の数字は tora_v2.js の CLOUD の値（モデルの値）を使い、検算の値と並べる（計算詳細版 p.9〜12）。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" t="inlineStr">
        <is>
          <t>値</t>
        </is>
      </c>
      <c r="D3" s="5" t="n"/>
      <c r="E3" s="5" t="n"/>
      <c r="F3" s="5" t="inlineStr">
        <is>
          <t>式（言葉）</t>
        </is>
      </c>
    </row>
    <row r="4" ht="19" customHeight="1">
      <c r="A4" s="3" t="inlineStr">
        <is>
          <t>1拠点の売上（年）</t>
        </is>
      </c>
      <c r="B4" s="4" t="n"/>
      <c r="C4" s="4" t="n"/>
      <c r="D4" s="4" t="n"/>
      <c r="E4" s="4" t="n"/>
      <c r="F4" s="4" t="n"/>
    </row>
    <row r="5" ht="17.5" customHeight="1">
      <c r="A5" s="7" t="inlineStr">
        <is>
          <t>基盤（値段の倍率を反映）</t>
        </is>
      </c>
      <c r="B5" s="8" t="inlineStr">
        <is>
          <t>万円/年/拠点</t>
        </is>
      </c>
      <c r="C5" s="32">
        <f>'前提'!$E$23*'前提'!$E$139</f>
        <v>60</v>
      </c>
      <c r="D5" s="37" t="inlineStr">
        <is>
          <t>月5万円×12×値段の倍率</t>
        </is>
      </c>
    </row>
    <row r="6" ht="17.5" customHeight="1">
      <c r="A6" s="7" t="inlineStr">
        <is>
          <t>端末ライセンス1台（値段の倍率を反映）</t>
        </is>
      </c>
      <c r="B6" s="8" t="inlineStr">
        <is>
          <t>万円/年/台</t>
        </is>
      </c>
      <c r="C6" s="32">
        <f>'前提'!$E$24*'前提'!$E$139</f>
        <v>24</v>
      </c>
      <c r="D6" s="37" t="inlineStr">
        <is>
          <t>月2万円×12×値段の倍率</t>
        </is>
      </c>
    </row>
    <row r="7" ht="17.5" customHeight="1">
      <c r="A7" s="7" t="inlineStr">
        <is>
          <t>1拠点の台数</t>
        </is>
      </c>
      <c r="B7" s="8" t="inlineStr">
        <is>
          <t>台/拠点</t>
        </is>
      </c>
      <c r="C7" s="32">
        <f>'前提'!$E$21</f>
        <v>10</v>
      </c>
      <c r="D7" s="37" t="inlineStr">
        <is>
          <t>前提2-1</t>
        </is>
      </c>
    </row>
    <row r="8" ht="17.5" customHeight="1">
      <c r="A8" s="6" t="inlineStr">
        <is>
          <t>1拠点の利用料</t>
        </is>
      </c>
      <c r="B8" s="8" t="inlineStr">
        <is>
          <t>万円/年/拠点</t>
        </is>
      </c>
      <c r="C8" s="43">
        <f>$C$5+$C$6*$C$7</f>
        <v>300</v>
      </c>
      <c r="D8" s="37" t="inlineStr">
        <is>
          <t>基盤60＋端末24×10台</t>
        </is>
      </c>
    </row>
    <row r="9" ht="17.5" customHeight="1">
      <c r="A9" s="7" t="inlineStr">
        <is>
          <t>参考：値段の倍率を掛ける前の1拠点の利用料</t>
        </is>
      </c>
      <c r="B9" s="8" t="inlineStr">
        <is>
          <t>万円/年/拠点</t>
        </is>
      </c>
      <c r="C9" s="32">
        <f>'前提'!$E$23+'前提'!$E$24*$C$7</f>
        <v>300</v>
      </c>
      <c r="D9" s="37" t="inlineStr">
        <is>
          <t>市場規模の計算に使う</t>
        </is>
      </c>
    </row>
    <row r="10" ht="19" customHeight="1">
      <c r="A10" s="3" t="inlineStr">
        <is>
          <t>1拠点の原価と粗利（年）</t>
        </is>
      </c>
      <c r="B10" s="4" t="n"/>
      <c r="C10" s="4" t="n"/>
      <c r="D10" s="4" t="n"/>
      <c r="E10" s="4" t="n"/>
      <c r="F10" s="4" t="n"/>
    </row>
    <row r="11" ht="17.5" customHeight="1">
      <c r="A11" s="7" t="inlineStr">
        <is>
          <t>1台の原価（年）</t>
        </is>
      </c>
      <c r="B11" s="8" t="inlineStr">
        <is>
          <t>万円/年/台</t>
        </is>
      </c>
      <c r="C11" s="34">
        <f>'値段と原価'!$D$41*'前提'!$E$6/'前提'!$E$7</f>
        <v>7.2</v>
      </c>
      <c r="D11" s="37" t="inlineStr">
        <is>
          <t>6,000円×12か月÷10,000（6,000円は下の内訳の合計）</t>
        </is>
      </c>
    </row>
    <row r="12" ht="17.5" customHeight="1">
      <c r="A12" s="7" t="inlineStr">
        <is>
          <t>1台の原価（原価の倍率を反映）</t>
        </is>
      </c>
      <c r="B12" s="8" t="inlineStr">
        <is>
          <t>万円/年/台</t>
        </is>
      </c>
      <c r="C12" s="34">
        <f>$C$11*'前提'!$E$141</f>
        <v>7.2</v>
      </c>
      <c r="D12" s="37" t="inlineStr">
        <is>
          <t>1台の原価×原価の倍率（前提8-3）</t>
        </is>
      </c>
    </row>
    <row r="13" ht="17.5" customHeight="1">
      <c r="A13" s="7" t="inlineStr">
        <is>
          <t>データ基盤</t>
        </is>
      </c>
      <c r="B13" s="8" t="inlineStr">
        <is>
          <t>万円/年/拠点</t>
        </is>
      </c>
      <c r="C13" s="32">
        <f>'前提'!$E$74</f>
        <v>12</v>
      </c>
      <c r="D13" s="37" t="inlineStr">
        <is>
          <t>月1万円×12</t>
        </is>
      </c>
    </row>
    <row r="14" ht="17.5" customHeight="1">
      <c r="A14" s="6" t="inlineStr">
        <is>
          <t>1拠点の原価</t>
        </is>
      </c>
      <c r="B14" s="8" t="inlineStr">
        <is>
          <t>万円/年/拠点</t>
        </is>
      </c>
      <c r="C14" s="36">
        <f>$C$13+$C$12*$C$7</f>
        <v>84</v>
      </c>
      <c r="D14" s="37" t="inlineStr">
        <is>
          <t>データ基盤12＋1台7.2×10台</t>
        </is>
      </c>
    </row>
    <row r="15" ht="17.5" customHeight="1">
      <c r="A15" s="6" t="inlineStr">
        <is>
          <t>1拠点の粗利</t>
        </is>
      </c>
      <c r="B15" s="8" t="inlineStr">
        <is>
          <t>万円/年/拠点</t>
        </is>
      </c>
      <c r="C15" s="36">
        <f>$C$8-$C$14</f>
        <v>216</v>
      </c>
      <c r="D15" s="37" t="inlineStr">
        <is>
          <t>1拠点の利用料−1拠点の原価</t>
        </is>
      </c>
    </row>
    <row r="16" ht="17.5" customHeight="1">
      <c r="A16" s="6" t="inlineStr">
        <is>
          <t>粗利率（利用料）</t>
        </is>
      </c>
      <c r="B16" s="8" t="inlineStr">
        <is>
          <t>割合</t>
        </is>
      </c>
      <c r="C16" s="44">
        <f>$C$15/$C$8</f>
        <v>0.72</v>
      </c>
      <c r="D16" s="37" t="inlineStr">
        <is>
          <t>1拠点の粗利÷1拠点の利用料</t>
        </is>
      </c>
    </row>
    <row r="17" ht="19" customHeight="1">
      <c r="A17" s="3" t="inlineStr">
        <is>
          <t>粗利率と台数・使い方（1拠点）</t>
        </is>
      </c>
      <c r="B17" s="4" t="n"/>
      <c r="C17" s="4" t="n"/>
      <c r="D17" s="4" t="n"/>
      <c r="E17" s="4" t="n"/>
      <c r="F17" s="4" t="n"/>
    </row>
    <row r="18" ht="48" customHeight="1">
      <c r="A18" s="5" t="inlineStr">
        <is>
          <t>台数</t>
        </is>
      </c>
      <c r="B18" s="5" t="inlineStr">
        <is>
          <t>単位</t>
        </is>
      </c>
      <c r="C18" s="5" t="inlineStr">
        <is>
          <t>1拠点の利用料
（万円/年）</t>
        </is>
      </c>
      <c r="D18" s="5" t="str">
        <f>"粗利率"&amp;CHAR(10)&amp;"大事な場面だけ"&amp;CHAR(10)&amp;"月"&amp;TEXT('値段と原価'!$D$41,"#,##0")&amp;"円/台"</f>
        <v>粗利率
大事な場面だけ
月6,000円/台</v>
      </c>
      <c r="E18" s="5" t="str">
        <f>"粗利率"&amp;CHAR(10)&amp;"全編を毎秒解析"&amp;CHAR(10)&amp;"月"&amp;TEXT('前提'!$E$72,"#,##0")&amp;"円/台"</f>
        <v>粗利率
全編を毎秒解析
月50,000円/台</v>
      </c>
      <c r="F18" s="5" t="inlineStr">
        <is>
          <t>式（言葉）</t>
        </is>
      </c>
    </row>
    <row r="19" ht="31" customHeight="1">
      <c r="A19" s="45">
        <f>'前提'!$E$80</f>
        <v>5</v>
      </c>
      <c r="B19" s="42" t="inlineStr">
        <is>
          <t>万円/年・割合</t>
        </is>
      </c>
      <c r="C19" s="32">
        <f>$C$5+$C$6*'前提'!$E$80</f>
        <v>180</v>
      </c>
      <c r="D19" s="46">
        <f>1-($C$13+$C$12*'前提'!$E$80)/($C$5+$C$6*'前提'!$E$80)</f>
        <v>0.733333333333333</v>
      </c>
      <c r="E19" s="46">
        <f>1-($C$13+'前提'!$E$72*'前提'!$E$6/'前提'!$E$7*'前提'!$E$80)/($C$5+$C$6*'前提'!$E$80)</f>
        <v>-0.733333333333333</v>
      </c>
      <c r="F19" s="37" t="inlineStr">
        <is>
          <t>1−(データ基盤＋1台の原価×台数)÷(基盤＋端末×台数)</t>
        </is>
      </c>
    </row>
    <row r="20" ht="31" customHeight="1">
      <c r="A20" s="45">
        <f>'前提'!$F$80</f>
        <v>10</v>
      </c>
      <c r="B20" s="42" t="inlineStr">
        <is>
          <t>万円/年・割合</t>
        </is>
      </c>
      <c r="C20" s="32">
        <f>$C$5+$C$6*'前提'!$F$80</f>
        <v>300</v>
      </c>
      <c r="D20" s="46">
        <f>1-($C$13+$C$12*'前提'!$F$80)/($C$5+$C$6*'前提'!$F$80)</f>
        <v>0.72</v>
      </c>
      <c r="E20" s="46">
        <f>1-($C$13+'前提'!$E$72*'前提'!$E$6/'前提'!$E$7*'前提'!$F$80)/($C$5+$C$6*'前提'!$F$80)</f>
        <v>-1.04</v>
      </c>
      <c r="F20" s="37" t="inlineStr">
        <is>
          <t>1−(データ基盤＋1台の原価×台数)÷(基盤＋端末×台数)</t>
        </is>
      </c>
    </row>
    <row r="21" ht="31" customHeight="1">
      <c r="A21" s="45">
        <f>'前提'!$G$80</f>
        <v>25</v>
      </c>
      <c r="B21" s="42" t="inlineStr">
        <is>
          <t>万円/年・割合</t>
        </is>
      </c>
      <c r="C21" s="32">
        <f>$C$5+$C$6*'前提'!$G$80</f>
        <v>660</v>
      </c>
      <c r="D21" s="46">
        <f>1-($C$13+$C$12*'前提'!$G$80)/($C$5+$C$6*'前提'!$G$80)</f>
        <v>0.709090909090909</v>
      </c>
      <c r="E21" s="46">
        <f>1-($C$13+'前提'!$E$72*'前提'!$E$6/'前提'!$E$7*'前提'!$G$80)/($C$5+$C$6*'前提'!$G$80)</f>
        <v>-1.29090909090909</v>
      </c>
      <c r="F21" s="37" t="inlineStr">
        <is>
          <t>1−(データ基盤＋1台の原価×台数)÷(基盤＋端末×台数)</t>
        </is>
      </c>
    </row>
    <row r="22" ht="17.5" customHeight="1">
      <c r="A22" s="2" t="inlineStr">
        <is>
          <t>注：1台の値段（月2万円）が1台の原価（月0.6万円）を賄うので、台数が増えても粗利率はほぼ同じ。全編を送ると台数が増えるほど赤字が膨らむ。</t>
        </is>
      </c>
    </row>
    <row r="23" ht="19" customHeight="1">
      <c r="A23" s="3" t="inlineStr">
        <is>
          <t>1台の原価の内訳（円/台/月）</t>
        </is>
      </c>
      <c r="B23" s="4" t="n"/>
      <c r="C23" s="4" t="n"/>
      <c r="D23" s="4" t="n"/>
      <c r="E23" s="4" t="n"/>
      <c r="F23" s="4" t="n"/>
    </row>
    <row r="24" ht="34" customHeight="1">
      <c r="A24" s="5" t="inlineStr">
        <is>
          <t>項目</t>
        </is>
      </c>
      <c r="B24" s="5" t="inlineStr">
        <is>
          <t>単位</t>
        </is>
      </c>
      <c r="C24" s="5" t="inlineStr">
        <is>
          <t>検算の値</t>
        </is>
      </c>
      <c r="D24" s="5" t="inlineStr">
        <is>
          <t>モデルの値
（tora_v2.js）</t>
        </is>
      </c>
      <c r="E24" s="5" t="inlineStr">
        <is>
          <t>差
モデル−検算</t>
        </is>
      </c>
      <c r="F24" s="5" t="inlineStr">
        <is>
          <t>式（言葉）</t>
        </is>
      </c>
    </row>
    <row r="25" ht="17.5" customHeight="1">
      <c r="A25" s="47" t="inlineStr">
        <is>
          <t>音声：録画の分数</t>
        </is>
      </c>
      <c r="B25" s="42" t="inlineStr">
        <is>
          <t>分/台/月</t>
        </is>
      </c>
      <c r="C25" s="32">
        <f>'前提'!$E$47*'前提'!$E$48*'前提'!$E$5</f>
        <v>4800</v>
      </c>
      <c r="D25" s="32" t="n"/>
      <c r="E25" s="32" t="n"/>
      <c r="F25" s="37" t="inlineStr">
        <is>
          <t>1日4時間×月20日×60分＝80時間</t>
        </is>
      </c>
    </row>
    <row r="26" ht="31" customHeight="1">
      <c r="A26" s="48" t="inlineStr">
        <is>
          <t>音声の文字起こし</t>
        </is>
      </c>
      <c r="B26" s="42" t="inlineStr">
        <is>
          <t>円/台/月</t>
        </is>
      </c>
      <c r="C26" s="43">
        <f>$C$25*'前提'!$E$49*'前提'!$E$46</f>
        <v>2160</v>
      </c>
      <c r="D26" s="43">
        <f>'前提'!$E$67</f>
        <v>2200</v>
      </c>
      <c r="E26" s="32">
        <f>$D$26-$C$26</f>
        <v>40</v>
      </c>
      <c r="F26" s="37" t="inlineStr">
        <is>
          <t>4,800分×$0.003×150円。削減時間（35分）とは関係なく、録画した時間に掛かる</t>
        </is>
      </c>
    </row>
    <row r="27" ht="17.5" customHeight="1">
      <c r="A27" s="47" t="inlineStr">
        <is>
          <t>画像：1枚の画像のトークン</t>
        </is>
      </c>
      <c r="B27" s="42" t="inlineStr">
        <is>
          <t>トークン/枚</t>
        </is>
      </c>
      <c r="C27" s="38">
        <f>'前提'!$E$52*'前提'!$E$53/'前提'!$E$54</f>
        <v>1228.8</v>
      </c>
      <c r="D27" s="32" t="n"/>
      <c r="E27" s="32" t="n"/>
      <c r="F27" s="37" t="inlineStr">
        <is>
          <t>1280×720÷750</t>
        </is>
      </c>
    </row>
    <row r="28" ht="17.5" customHeight="1">
      <c r="A28" s="47" t="inlineStr">
        <is>
          <t>画像：1枚の入力トークン</t>
        </is>
      </c>
      <c r="B28" s="42" t="inlineStr">
        <is>
          <t>トークン/枚</t>
        </is>
      </c>
      <c r="C28" s="38">
        <f>$C$27+'前提'!$E$55</f>
        <v>1528.8</v>
      </c>
      <c r="D28" s="32" t="n"/>
      <c r="E28" s="32" t="n"/>
      <c r="F28" s="37" t="inlineStr">
        <is>
          <t>画像＋指示文300</t>
        </is>
      </c>
    </row>
    <row r="29" ht="17.5" customHeight="1">
      <c r="A29" s="47" t="inlineStr">
        <is>
          <t>画像解析 Claude Haiku 5.5：1枚</t>
        </is>
      </c>
      <c r="B29" s="42" t="inlineStr">
        <is>
          <t>円/枚</t>
        </is>
      </c>
      <c r="C29" s="40">
        <f>($C$28*'前提'!$E$57+'前提'!$E$56*'前提'!$E$58)/'前提'!$E$10*'前提'!$E$46</f>
        <v>0.034182</v>
      </c>
      <c r="D29" s="32" t="n"/>
      <c r="E29" s="32" t="n"/>
      <c r="F29" s="37" t="inlineStr">
        <is>
          <t>(入力×$0.10＋出力150×$0.50)÷100万×150円</t>
        </is>
      </c>
    </row>
    <row r="30" ht="17.5" customHeight="1">
      <c r="A30" s="47" t="inlineStr">
        <is>
          <t>画像解析 Claude Haiku 5.5：月</t>
        </is>
      </c>
      <c r="B30" s="42" t="inlineStr">
        <is>
          <t>円/台/月</t>
        </is>
      </c>
      <c r="C30" s="38">
        <f>$C$29*'前提'!$E$50</f>
        <v>102.546</v>
      </c>
      <c r="D30" s="32" t="n"/>
      <c r="E30" s="32" t="n"/>
      <c r="F30" s="37" t="inlineStr">
        <is>
          <t>1枚×3,000枚</t>
        </is>
      </c>
    </row>
    <row r="31" ht="17.5" customHeight="1">
      <c r="A31" s="47" t="inlineStr">
        <is>
          <t>画像解析 Claude Sonnet 5.5：1枚</t>
        </is>
      </c>
      <c r="B31" s="42" t="inlineStr">
        <is>
          <t>円/枚</t>
        </is>
      </c>
      <c r="C31" s="40">
        <f>($C$28*'前提'!$E$59+'前提'!$E$56*'前提'!$E$60)/'前提'!$E$10*'前提'!$E$46</f>
        <v>0.68364</v>
      </c>
      <c r="D31" s="32" t="n"/>
      <c r="E31" s="32" t="n"/>
      <c r="F31" s="37" t="inlineStr">
        <is>
          <t>(入力×$2＋出力150×$10)÷100万×150円</t>
        </is>
      </c>
    </row>
    <row r="32" ht="17.5" customHeight="1">
      <c r="A32" s="47" t="inlineStr">
        <is>
          <t>画像解析 Claude Sonnet 5.5：月</t>
        </is>
      </c>
      <c r="B32" s="42" t="inlineStr">
        <is>
          <t>円/台/月</t>
        </is>
      </c>
      <c r="C32" s="38">
        <f>$C$31*'前提'!$E$50</f>
        <v>2050.92</v>
      </c>
      <c r="D32" s="32" t="n"/>
      <c r="E32" s="32" t="n"/>
      <c r="F32" s="37" t="inlineStr">
        <is>
          <t>1枚×3,000枚</t>
        </is>
      </c>
    </row>
    <row r="33" ht="31" customHeight="1">
      <c r="A33" s="47" t="inlineStr">
        <is>
          <t>画像解析 モデルの置き方：1枚</t>
        </is>
      </c>
      <c r="B33" s="42" t="inlineStr">
        <is>
          <t>円/枚</t>
        </is>
      </c>
      <c r="C33" s="40">
        <f>'前提'!$E$68/'前提'!$E$50</f>
        <v>0.333333333333333</v>
      </c>
      <c r="D33" s="32" t="n"/>
      <c r="E33" s="32" t="n"/>
      <c r="F33" s="37" t="inlineStr">
        <is>
          <t>月1,000円÷3,000枚（1枚約1,000トークンとして置いた値）</t>
        </is>
      </c>
    </row>
    <row r="34" ht="31" customHeight="1">
      <c r="A34" s="48" t="inlineStr">
        <is>
          <t>画像解析（大事な場面 月3,000枚）</t>
        </is>
      </c>
      <c r="B34" s="42" t="inlineStr">
        <is>
          <t>円/台/月</t>
        </is>
      </c>
      <c r="C34" s="43" t="n"/>
      <c r="D34" s="43">
        <f>'前提'!$E$68</f>
        <v>1000</v>
      </c>
      <c r="E34" s="32" t="n"/>
      <c r="F34" s="37" t="inlineStr">
        <is>
          <t>モデルの1,000円は Haiku 5.5（約100円）と Sonnet 5.5（約2,050円）の間</t>
        </is>
      </c>
    </row>
    <row r="35" ht="17.5" customHeight="1">
      <c r="A35" s="47" t="inlineStr">
        <is>
          <t>全部を Sonnet 5.5 にした場合の増え方</t>
        </is>
      </c>
      <c r="B35" s="42" t="inlineStr">
        <is>
          <t>円/台/月</t>
        </is>
      </c>
      <c r="C35" s="32">
        <f>$C$32-'前提'!$E$68</f>
        <v>1050.92</v>
      </c>
      <c r="D35" s="32" t="n"/>
      <c r="E35" s="32" t="n"/>
      <c r="F35" s="37" t="inlineStr">
        <is>
          <t>Sonnet 5.5 の月額−モデルの1,000円</t>
        </is>
      </c>
    </row>
    <row r="36" ht="17.5" customHeight="1">
      <c r="A36" s="47" t="inlineStr">
        <is>
          <t>報告書：1件の費用（Sonnet 5.5）</t>
        </is>
      </c>
      <c r="B36" s="42" t="inlineStr">
        <is>
          <t>円/件</t>
        </is>
      </c>
      <c r="C36" s="34">
        <f>('前提'!$E$62*'前提'!$E$59+'前提'!$E$63*'前提'!$E$60)/'前提'!$E$10*'前提'!$E$46</f>
        <v>9</v>
      </c>
      <c r="D36" s="32" t="n"/>
      <c r="E36" s="32" t="n"/>
      <c r="F36" s="37" t="inlineStr">
        <is>
          <t>(入力2万×$2＋出力2千×$10)÷100万×150円</t>
        </is>
      </c>
    </row>
    <row r="37" ht="17.5" customHeight="1">
      <c r="A37" s="48" t="inlineStr">
        <is>
          <t>報告書の生成</t>
        </is>
      </c>
      <c r="B37" s="42" t="inlineStr">
        <is>
          <t>円/台/月</t>
        </is>
      </c>
      <c r="C37" s="43">
        <f>$C$36*'前提'!$E$61*'前提'!$E$48</f>
        <v>180</v>
      </c>
      <c r="D37" s="43">
        <f>'前提'!$E$69</f>
        <v>200</v>
      </c>
      <c r="E37" s="32">
        <f>$D$37-$C$37</f>
        <v>20</v>
      </c>
      <c r="F37" s="37" t="inlineStr">
        <is>
          <t>1件×1日1件×20日</t>
        </is>
      </c>
    </row>
    <row r="38" ht="17.5" customHeight="1">
      <c r="A38" s="47" t="inlineStr">
        <is>
          <t>保存：3年間の平均の保管量</t>
        </is>
      </c>
      <c r="B38" s="42" t="inlineStr">
        <is>
          <t>GB/台</t>
        </is>
      </c>
      <c r="C38" s="32">
        <f>'前提'!$E$64*'前提'!$E$65/2</f>
        <v>180</v>
      </c>
      <c r="D38" s="32" t="n"/>
      <c r="E38" s="32" t="n"/>
      <c r="F38" s="37" t="inlineStr">
        <is>
          <t>月10GB×36か月÷2（直線で増える量の平均）</t>
        </is>
      </c>
    </row>
    <row r="39" ht="17.5" customHeight="1">
      <c r="A39" s="48" t="inlineStr">
        <is>
          <t>動画の保存</t>
        </is>
      </c>
      <c r="B39" s="42" t="inlineStr">
        <is>
          <t>円/台/月</t>
        </is>
      </c>
      <c r="C39" s="43">
        <f>$C$38*'前提'!$E$66*'前提'!$E$46</f>
        <v>675</v>
      </c>
      <c r="D39" s="43">
        <f>'前提'!$E$70</f>
        <v>700</v>
      </c>
      <c r="E39" s="32">
        <f>$D$39-$C$39</f>
        <v>25</v>
      </c>
      <c r="F39" s="37" t="inlineStr">
        <is>
          <t>平均180GB×$0.025×150円</t>
        </is>
      </c>
    </row>
    <row r="40" ht="31" customHeight="1">
      <c r="A40" s="48" t="inlineStr">
        <is>
          <t>転送・監視・バックアップ・端末管理（MDM）・余裕</t>
        </is>
      </c>
      <c r="B40" s="42" t="inlineStr">
        <is>
          <t>円/台/月</t>
        </is>
      </c>
      <c r="C40" s="43" t="n"/>
      <c r="D40" s="43">
        <f>'前提'!$E$71</f>
        <v>1900</v>
      </c>
      <c r="E40" s="32" t="n"/>
      <c r="F40" s="37" t="inlineStr">
        <is>
          <t>見積（内訳の検算はしていない）</t>
        </is>
      </c>
    </row>
    <row r="41" ht="31" customHeight="1">
      <c r="A41" s="48" t="inlineStr">
        <is>
          <t>合計（計画で使う値）</t>
        </is>
      </c>
      <c r="B41" s="42" t="inlineStr">
        <is>
          <t>円/台/月</t>
        </is>
      </c>
      <c r="C41" s="49" t="n"/>
      <c r="D41" s="43">
        <f>'値段と原価'!$D$26+'値段と原価'!$D$34+'値段と原価'!$D$37+'値段と原価'!$D$39+'値段と原価'!$D$40</f>
        <v>6000</v>
      </c>
      <c r="E41" s="49" t="n"/>
      <c r="F41" s="37" t="inlineStr">
        <is>
          <t>文字起こし＋画像解析＋報告書＋保存＋転送など（モデルの値の合計）</t>
        </is>
      </c>
    </row>
    <row r="42" ht="17.5" customHeight="1">
      <c r="A42" s="47" t="inlineStr">
        <is>
          <t>参考：検算の合計（画像は Haiku 5.5）</t>
        </is>
      </c>
      <c r="B42" s="42" t="inlineStr">
        <is>
          <t>円/台/月</t>
        </is>
      </c>
      <c r="C42" s="32">
        <f>$C$26+$C$30+$C$37+$C$39+'前提'!$E$71</f>
        <v>5017.546</v>
      </c>
      <c r="D42" s="32" t="n"/>
      <c r="E42" s="32" t="n"/>
      <c r="F42" s="37" t="inlineStr">
        <is>
          <t>検算の値の合計（転送などはモデルの値）</t>
        </is>
      </c>
    </row>
    <row r="43" ht="17.5" customHeight="1">
      <c r="A43" s="47" t="inlineStr">
        <is>
          <t>参考：検算の合計（画像は Sonnet 5.5）</t>
        </is>
      </c>
      <c r="B43" s="42" t="inlineStr">
        <is>
          <t>円/台/月</t>
        </is>
      </c>
      <c r="C43" s="32">
        <f>$C$26+$C$32+$C$37+$C$39+'前提'!$E$71</f>
        <v>6965.92</v>
      </c>
      <c r="D43" s="32" t="n"/>
      <c r="E43" s="32" t="n"/>
      <c r="F43" s="37" t="inlineStr">
        <is>
          <t>同上</t>
        </is>
      </c>
    </row>
    <row r="44" ht="19" customHeight="1">
      <c r="A44" s="3" t="inlineStr">
        <is>
          <t>広い原価で見た粗利率（5年目）</t>
        </is>
      </c>
      <c r="B44" s="4" t="n"/>
      <c r="C44" s="4" t="n"/>
      <c r="D44" s="4" t="n"/>
      <c r="E44" s="4" t="n"/>
      <c r="F44" s="4" t="n"/>
    </row>
    <row r="45" ht="17.5" customHeight="1">
      <c r="A45" s="7" t="inlineStr">
        <is>
          <t>5年目の売上</t>
        </is>
      </c>
      <c r="B45" s="8" t="inlineStr">
        <is>
          <t>万円/年</t>
        </is>
      </c>
      <c r="C45" s="32">
        <f>'拠点と売上'!$G$22</f>
        <v>26900</v>
      </c>
      <c r="D45" s="37" t="inlineStr">
        <is>
          <t>拠点と売上</t>
        </is>
      </c>
    </row>
    <row r="46" ht="17.5" customHeight="1">
      <c r="A46" s="7" t="inlineStr">
        <is>
          <t>5年目の原価（今の分類）</t>
        </is>
      </c>
      <c r="B46" s="8" t="inlineStr">
        <is>
          <t>万円/年</t>
        </is>
      </c>
      <c r="C46" s="38">
        <f>'損益と現金'!$G$13</f>
        <v>10704.3333333333</v>
      </c>
      <c r="D46" s="37" t="inlineStr">
        <is>
          <t>利用料の原価＋導入支援の原価＋個社設定の人件費</t>
        </is>
      </c>
    </row>
    <row r="47" ht="17.5" customHeight="1">
      <c r="A47" s="7" t="inlineStr">
        <is>
          <t>5年目の粗利（今の分類）</t>
        </is>
      </c>
      <c r="B47" s="8" t="inlineStr">
        <is>
          <t>万円/年</t>
        </is>
      </c>
      <c r="C47" s="38">
        <f>'損益と現金'!$G$16</f>
        <v>16195.6666666667</v>
      </c>
      <c r="D47" s="37" t="inlineStr">
        <is>
          <t>売上−原価</t>
        </is>
      </c>
    </row>
    <row r="48" ht="17.5" customHeight="1">
      <c r="A48" s="6" t="inlineStr">
        <is>
          <t>粗利率（今の分類）</t>
        </is>
      </c>
      <c r="B48" s="8" t="inlineStr">
        <is>
          <t>割合</t>
        </is>
      </c>
      <c r="C48" s="44">
        <f>$C$47/$C$45</f>
        <v>0.602069392812887</v>
      </c>
      <c r="D48" s="37" t="inlineStr">
        <is>
          <t>粗利÷売上</t>
        </is>
      </c>
    </row>
    <row r="49" ht="17.5" customHeight="1">
      <c r="A49" s="7" t="inlineStr">
        <is>
          <t>導入コンサルタントの人件費</t>
        </is>
      </c>
      <c r="B49" s="8" t="inlineStr">
        <is>
          <t>万円/年</t>
        </is>
      </c>
      <c r="C49" s="38">
        <f>'体制と人件費'!$G$28</f>
        <v>5760</v>
      </c>
      <c r="D49" s="37" t="inlineStr">
        <is>
          <t>8人×600万円×1.2（体制と人件費。計画の人数・年収）</t>
        </is>
      </c>
    </row>
    <row r="50" ht="17.5" customHeight="1">
      <c r="A50" s="7" t="inlineStr">
        <is>
          <t>うち導入支援と個社設定へ振り替えた分</t>
        </is>
      </c>
      <c r="B50" s="8" t="inlineStr">
        <is>
          <t>万円/年</t>
        </is>
      </c>
      <c r="C50" s="38">
        <f>'損益と現金'!$G$21</f>
        <v>4791.33333333333</v>
      </c>
      <c r="D50" s="37" t="inlineStr">
        <is>
          <t>損益と現金の振替</t>
        </is>
      </c>
    </row>
    <row r="51" ht="17.5" customHeight="1">
      <c r="A51" s="7" t="inlineStr">
        <is>
          <t>振り替えていない分（定着支援・サポート）</t>
        </is>
      </c>
      <c r="B51" s="8" t="inlineStr">
        <is>
          <t>万円/年</t>
        </is>
      </c>
      <c r="C51" s="38">
        <f>$C$49-$C$50</f>
        <v>968.666666666667</v>
      </c>
      <c r="D51" s="37" t="inlineStr">
        <is>
          <t>導入後の定着支援と問い合わせ対応の時間</t>
        </is>
      </c>
    </row>
    <row r="52" ht="17.5" customHeight="1">
      <c r="A52" s="7" t="inlineStr">
        <is>
          <t>現場監修の人件費（ラベル付け・品質の確認）</t>
        </is>
      </c>
      <c r="B52" s="8" t="inlineStr">
        <is>
          <t>万円/年</t>
        </is>
      </c>
      <c r="C52" s="38">
        <f>'体制と人件費'!$G$27</f>
        <v>1560</v>
      </c>
      <c r="D52" s="37" t="inlineStr">
        <is>
          <t>2人×650万円×1.2</t>
        </is>
      </c>
    </row>
    <row r="53" ht="17.5" customHeight="1">
      <c r="A53" s="7" t="inlineStr">
        <is>
          <t>原価へ移す額</t>
        </is>
      </c>
      <c r="B53" s="8" t="inlineStr">
        <is>
          <t>万円/年</t>
        </is>
      </c>
      <c r="C53" s="38">
        <f>$C$51+$C$52</f>
        <v>2528.66666666667</v>
      </c>
      <c r="D53" s="37" t="inlineStr">
        <is>
          <t>振り替えていない分＋現場監修</t>
        </is>
      </c>
    </row>
    <row r="54" ht="17.5" customHeight="1">
      <c r="A54" s="7" t="inlineStr">
        <is>
          <t>広い原価での粗利</t>
        </is>
      </c>
      <c r="B54" s="8" t="inlineStr">
        <is>
          <t>万円/年</t>
        </is>
      </c>
      <c r="C54" s="38">
        <f>$C$47-$C$53</f>
        <v>13667</v>
      </c>
      <c r="D54" s="37" t="inlineStr">
        <is>
          <t>粗利−原価へ移す額</t>
        </is>
      </c>
    </row>
    <row r="55" ht="17.5" customHeight="1">
      <c r="A55" s="6" t="inlineStr">
        <is>
          <t>広い原価での粗利率</t>
        </is>
      </c>
      <c r="B55" s="8" t="inlineStr">
        <is>
          <t>割合</t>
        </is>
      </c>
      <c r="C55" s="44">
        <f>$C$54/$C$45</f>
        <v>0.508066914498141</v>
      </c>
      <c r="D55" s="37" t="inlineStr">
        <is>
          <t>SaaS の慣行どおり、定着支援・サポート・現場監修を原価に入れた場合</t>
        </is>
      </c>
    </row>
    <row r="56" ht="17.5" customHeight="1">
      <c r="A56" s="7" t="inlineStr">
        <is>
          <t>5年目の利用料</t>
        </is>
      </c>
      <c r="B56" s="8" t="inlineStr">
        <is>
          <t>万円/年</t>
        </is>
      </c>
      <c r="C56" s="32">
        <f>'拠点と売上'!$G$16</f>
        <v>19350</v>
      </c>
      <c r="D56" s="37" t="inlineStr">
        <is>
          <t>拠点と売上</t>
        </is>
      </c>
    </row>
    <row r="57" ht="17.5" customHeight="1">
      <c r="A57" s="7" t="inlineStr">
        <is>
          <t>5年目の利用料の原価</t>
        </is>
      </c>
      <c r="B57" s="8" t="inlineStr">
        <is>
          <t>万円/年</t>
        </is>
      </c>
      <c r="C57" s="38">
        <f>'損益と現金'!$G$8</f>
        <v>5418</v>
      </c>
      <c r="D57" s="37" t="inlineStr">
        <is>
          <t>損益と現金</t>
        </is>
      </c>
    </row>
    <row r="58" ht="17.5" customHeight="1">
      <c r="A58" s="7" t="inlineStr">
        <is>
          <t>利用料の粗利率（今の分類）</t>
        </is>
      </c>
      <c r="B58" s="8" t="inlineStr">
        <is>
          <t>割合</t>
        </is>
      </c>
      <c r="C58" s="46">
        <f>1-$C$57/$C$56</f>
        <v>0.72</v>
      </c>
      <c r="D58" s="37" t="inlineStr">
        <is>
          <t>1−利用料の原価÷利用料</t>
        </is>
      </c>
    </row>
    <row r="59" ht="17.5" customHeight="1">
      <c r="A59" s="7" t="inlineStr">
        <is>
          <t>利用料の粗利率（広い原価）</t>
        </is>
      </c>
      <c r="B59" s="8" t="inlineStr">
        <is>
          <t>割合</t>
        </is>
      </c>
      <c r="C59" s="46">
        <f>($C$56-$C$57-$C$53)/$C$56</f>
        <v>0.58931955211025</v>
      </c>
      <c r="D59" s="37" t="inlineStr">
        <is>
          <t>移す額をすべて利用料の原価にした場合：(利用料−利用料の原価−原価へ移す額)÷利用料</t>
        </is>
      </c>
    </row>
    <row r="60" ht="17.5" customHeight="1">
      <c r="A60" s="7" t="inlineStr">
        <is>
          <t>販管費（広い分類）</t>
        </is>
      </c>
      <c r="B60" s="8" t="inlineStr">
        <is>
          <t>万円/年</t>
        </is>
      </c>
      <c r="C60" s="38">
        <f>'損益と現金'!$G$25-$C$53</f>
        <v>14784</v>
      </c>
      <c r="D60" s="37" t="inlineStr">
        <is>
          <t>販管費−原価へ移す額</t>
        </is>
      </c>
    </row>
    <row r="61" ht="17.5" customHeight="1">
      <c r="A61" s="7" t="inlineStr">
        <is>
          <t>営業利益（広い分類）</t>
        </is>
      </c>
      <c r="B61" s="8" t="inlineStr">
        <is>
          <t>万円/年</t>
        </is>
      </c>
      <c r="C61" s="38">
        <f>$C$54-$C$60</f>
        <v>-1117</v>
      </c>
      <c r="D61" s="37" t="inlineStr">
        <is>
          <t>広い粗利−広い販管費</t>
        </is>
      </c>
    </row>
    <row r="62" ht="17.5" customHeight="1">
      <c r="A62" s="6" t="inlineStr">
        <is>
          <t>今の分類の営業利益との差</t>
        </is>
      </c>
      <c r="B62" s="8" t="inlineStr">
        <is>
          <t>万円/年</t>
        </is>
      </c>
      <c r="C62" s="50">
        <f>$C$61-'損益と現金'!$G$27</f>
        <v>0</v>
      </c>
      <c r="D62" s="37" t="inlineStr">
        <is>
          <t>0になる：分類を変えても営業利益は変わらない</t>
        </is>
      </c>
    </row>
    <row r="63" ht="31" customHeight="1">
      <c r="A63" s="2" t="inlineStr">
        <is>
          <t>注：分類を変えても営業利益は変わらない。サポート（問い合わせ窓口）は導入コンサルタントが受け持つので「振り替えていない分」に含めた。人件費は計画の人数・年収（つまみを掛ける前）。</t>
        </is>
      </c>
    </row>
    <row r="64" ht="19" customHeight="1">
      <c r="A64" s="3" t="inlineStr">
        <is>
          <t>保存：4年目以降の定常（3年保存を続けた場合）</t>
        </is>
      </c>
      <c r="B64" s="4" t="n"/>
      <c r="C64" s="4" t="n"/>
      <c r="D64" s="4" t="n"/>
      <c r="E64" s="4" t="n"/>
      <c r="F64" s="4" t="n"/>
    </row>
    <row r="65" ht="34" customHeight="1">
      <c r="A65" s="5" t="inlineStr">
        <is>
          <t>項目</t>
        </is>
      </c>
      <c r="B65" s="5" t="inlineStr">
        <is>
          <t>単位</t>
        </is>
      </c>
      <c r="C65" s="5" t="inlineStr">
        <is>
          <t>検算の値</t>
        </is>
      </c>
      <c r="D65" s="5" t="inlineStr">
        <is>
          <t>モデルの値
（tora_v2.js）</t>
        </is>
      </c>
      <c r="E65" s="5" t="inlineStr">
        <is>
          <t>差
モデル−検算</t>
        </is>
      </c>
      <c r="F65" s="5" t="inlineStr">
        <is>
          <t>式（言葉）</t>
        </is>
      </c>
    </row>
    <row r="66" ht="17.5" customHeight="1">
      <c r="A66" s="47" t="inlineStr">
        <is>
          <t>保存：4年目以降の定常の保管量</t>
        </is>
      </c>
      <c r="B66" s="42" t="inlineStr">
        <is>
          <t>GB/台</t>
        </is>
      </c>
      <c r="C66" s="32">
        <f>'前提'!$E$64*'前提'!$E$65</f>
        <v>360</v>
      </c>
      <c r="D66" s="32" t="n"/>
      <c r="E66" s="32" t="n"/>
      <c r="F66" s="37" t="inlineStr">
        <is>
          <t>月10GB×36か月</t>
        </is>
      </c>
    </row>
    <row r="67" ht="17.5" customHeight="1">
      <c r="A67" s="47" t="inlineStr">
        <is>
          <t>保存：定常の費用</t>
        </is>
      </c>
      <c r="B67" s="42" t="inlineStr">
        <is>
          <t>円/台/月</t>
        </is>
      </c>
      <c r="C67" s="32">
        <f>$C$66*'前提'!$E$66*'前提'!$E$46</f>
        <v>1350</v>
      </c>
      <c r="D67" s="32" t="n"/>
      <c r="E67" s="32" t="n"/>
      <c r="F67" s="37" t="inlineStr">
        <is>
          <t>360GB×$0.025×150円</t>
        </is>
      </c>
    </row>
    <row r="68" ht="17.5" customHeight="1">
      <c r="A68" s="47" t="inlineStr">
        <is>
          <t>保存：定常とモデルの差（1台）</t>
        </is>
      </c>
      <c r="B68" s="42" t="inlineStr">
        <is>
          <t>円/台/月</t>
        </is>
      </c>
      <c r="C68" s="32">
        <f>$C$67-'前提'!$E$70</f>
        <v>650</v>
      </c>
      <c r="D68" s="32" t="n"/>
      <c r="E68" s="32" t="n"/>
      <c r="F68" s="37" t="inlineStr">
        <is>
          <t>定常−モデルの700円</t>
        </is>
      </c>
    </row>
    <row r="69" ht="17.5" customHeight="1">
      <c r="A69" s="47" t="inlineStr">
        <is>
          <t>保存：定常での1拠点の増え方</t>
        </is>
      </c>
      <c r="B69" s="42" t="inlineStr">
        <is>
          <t>万円/年/拠点</t>
        </is>
      </c>
      <c r="C69" s="38">
        <f>$C$68*$C$7*'前提'!$E$6/'前提'!$E$7</f>
        <v>7.8</v>
      </c>
      <c r="D69" s="32" t="n"/>
      <c r="E69" s="32" t="n"/>
      <c r="F69" s="37" t="inlineStr">
        <is>
          <t>差×10台×12か月÷10,000</t>
        </is>
      </c>
    </row>
    <row r="70" ht="17.5" customHeight="1">
      <c r="A70" s="47" t="inlineStr">
        <is>
          <t>保存：定常での粗利率の下がり幅</t>
        </is>
      </c>
      <c r="B70" s="42" t="inlineStr">
        <is>
          <t>ポイント</t>
        </is>
      </c>
      <c r="C70" s="46">
        <f>$C$69/$C$8</f>
        <v>0.026</v>
      </c>
      <c r="D70" s="32" t="n"/>
      <c r="E70" s="32" t="n"/>
      <c r="F70" s="37" t="inlineStr">
        <is>
          <t>1拠点の増え方÷1拠点の利用料</t>
        </is>
      </c>
    </row>
    <row r="71" ht="17.5" customHeight="1">
      <c r="A71" s="2" t="inlineStr">
        <is>
          <t>注：モデルは保存を3年間の平均で置いている。定常（4年目以降）では1台 月+650円（1拠点 年+7.8万円、粗利率−2.6ポイント）になる。</t>
        </is>
      </c>
    </row>
    <row r="72" ht="19" customHeight="1">
      <c r="A72" s="3" t="inlineStr">
        <is>
          <t>解析量のプラン案（参考・計画に入れない）</t>
        </is>
      </c>
      <c r="B72" s="4" t="n"/>
      <c r="C72" s="4" t="n"/>
      <c r="D72" s="4" t="n"/>
      <c r="E72" s="4" t="n"/>
      <c r="F72" s="4" t="n"/>
    </row>
    <row r="73" ht="17.5" customHeight="1">
      <c r="A73" s="7" t="inlineStr">
        <is>
          <t>標準に含む画像</t>
        </is>
      </c>
      <c r="B73" s="8" t="inlineStr">
        <is>
          <t>枚/台/月</t>
        </is>
      </c>
      <c r="C73" s="32">
        <f>'前提'!$E$50</f>
        <v>3000</v>
      </c>
      <c r="D73" s="37" t="inlineStr">
        <is>
          <t>前提4-5</t>
        </is>
      </c>
    </row>
    <row r="74" ht="17.5" customHeight="1">
      <c r="A74" s="7" t="inlineStr">
        <is>
          <t>標準に含む保存</t>
        </is>
      </c>
      <c r="B74" s="8" t="inlineStr">
        <is>
          <t>GB/台/月</t>
        </is>
      </c>
      <c r="C74" s="32">
        <f>'前提'!$E$64</f>
        <v>10</v>
      </c>
      <c r="D74" s="37" t="inlineStr">
        <is>
          <t>前提4-19</t>
        </is>
      </c>
    </row>
    <row r="75" ht="17.5" customHeight="1">
      <c r="A75" s="7" t="inlineStr">
        <is>
          <t>追加1,000枚の原価（Sonnet 5.5）</t>
        </is>
      </c>
      <c r="B75" s="8" t="inlineStr">
        <is>
          <t>円/月</t>
        </is>
      </c>
      <c r="C75" s="38">
        <f>$C$31*'前提'!$E$76</f>
        <v>683.64</v>
      </c>
      <c r="D75" s="37" t="inlineStr">
        <is>
          <t>1枚の Sonnet 5.5 の費用×1,000枚</t>
        </is>
      </c>
    </row>
    <row r="76" ht="17.5" customHeight="1">
      <c r="A76" s="7" t="inlineStr">
        <is>
          <t>追加1,000枚の原価（Haiku 5.5・参考）</t>
        </is>
      </c>
      <c r="B76" s="8" t="inlineStr">
        <is>
          <t>円/月</t>
        </is>
      </c>
      <c r="C76" s="38">
        <f>$C$29*'前提'!$E$76</f>
        <v>34.182</v>
      </c>
      <c r="D76" s="37" t="inlineStr">
        <is>
          <t>1枚の Haiku 5.5 の費用×1,000枚</t>
        </is>
      </c>
    </row>
    <row r="77" ht="17.5" customHeight="1">
      <c r="A77" s="6" t="inlineStr">
        <is>
          <t>追加1,000枚ごとの料金</t>
        </is>
      </c>
      <c r="B77" s="8" t="inlineStr">
        <is>
          <t>円/台/月</t>
        </is>
      </c>
      <c r="C77" s="43">
        <f>ROUND($C$75*'前提'!$E$75/'前提'!$E$78,0)*'前提'!$E$78</f>
        <v>2000</v>
      </c>
      <c r="D77" s="37" t="inlineStr">
        <is>
          <t>Sonnet 5.5 の原価×3を千円単位に丸める</t>
        </is>
      </c>
    </row>
    <row r="78" ht="17.5" customHeight="1">
      <c r="A78" s="7" t="inlineStr">
        <is>
          <t>その粗利率</t>
        </is>
      </c>
      <c r="B78" s="8" t="inlineStr">
        <is>
          <t>割合</t>
        </is>
      </c>
      <c r="C78" s="46">
        <f>1-$C$75/$C$77</f>
        <v>0.65818</v>
      </c>
      <c r="D78" s="37" t="inlineStr">
        <is>
          <t>1−原価÷料金</t>
        </is>
      </c>
    </row>
    <row r="79" ht="17.5" customHeight="1">
      <c r="A79" s="7" t="inlineStr">
        <is>
          <t>追加10GB/月の原価（3年保存の平均）</t>
        </is>
      </c>
      <c r="B79" s="8" t="inlineStr">
        <is>
          <t>円/月</t>
        </is>
      </c>
      <c r="C79" s="32">
        <f>'前提'!$E$77*'前提'!$E$65/2*'前提'!$E$66*'前提'!$E$46</f>
        <v>675</v>
      </c>
      <c r="D79" s="37" t="inlineStr">
        <is>
          <t>毎月10GB多く送り3年保存：平均180GB×$0.025×150円</t>
        </is>
      </c>
    </row>
    <row r="80" ht="17.5" customHeight="1">
      <c r="A80" s="7" t="inlineStr">
        <is>
          <t>追加10GB/月の原価（4年目以降の定常）</t>
        </is>
      </c>
      <c r="B80" s="8" t="inlineStr">
        <is>
          <t>円/月</t>
        </is>
      </c>
      <c r="C80" s="32">
        <f>'前提'!$E$77*'前提'!$E$65*'前提'!$E$66*'前提'!$E$46</f>
        <v>1350</v>
      </c>
      <c r="D80" s="37" t="inlineStr">
        <is>
          <t>360GB×$0.025×150円</t>
        </is>
      </c>
    </row>
    <row r="81" ht="17.5" customHeight="1">
      <c r="A81" s="6" t="inlineStr">
        <is>
          <t>追加10GBごとの料金</t>
        </is>
      </c>
      <c r="B81" s="8" t="inlineStr">
        <is>
          <t>円/台/月</t>
        </is>
      </c>
      <c r="C81" s="43">
        <f>ROUND($C$79*'前提'!$E$75/'前提'!$E$78,0)*'前提'!$E$78</f>
        <v>2000</v>
      </c>
      <c r="D81" s="37" t="inlineStr">
        <is>
          <t>3年平均の原価×3を千円単位に丸める</t>
        </is>
      </c>
    </row>
    <row r="82" ht="17.5" customHeight="1">
      <c r="A82" s="7" t="inlineStr">
        <is>
          <t>その粗利率（3年平均）</t>
        </is>
      </c>
      <c r="B82" s="8" t="inlineStr">
        <is>
          <t>割合</t>
        </is>
      </c>
      <c r="C82" s="46">
        <f>1-$C$79/$C$81</f>
        <v>0.6625</v>
      </c>
      <c r="D82" s="37" t="inlineStr">
        <is>
          <t>1−原価÷料金</t>
        </is>
      </c>
    </row>
    <row r="83" ht="17.5" customHeight="1">
      <c r="A83" s="7" t="inlineStr">
        <is>
          <t>その粗利率（定常）</t>
        </is>
      </c>
      <c r="B83" s="8" t="inlineStr">
        <is>
          <t>割合</t>
        </is>
      </c>
      <c r="C83" s="46">
        <f>1-$C$80/$C$81</f>
        <v>0.325</v>
      </c>
      <c r="D83" s="37" t="inlineStr">
        <is>
          <t>定常でも料金が原価を上回る</t>
        </is>
      </c>
    </row>
    <row r="84" ht="17.5" customHeight="1">
      <c r="A84" s="2" t="inlineStr">
        <is>
          <t>注：標準は1台 月3,000枚・保存10GBまで。超えた分は1,000枚ごと・10GBごとに追加料金。追加料金は原価の約3倍で置き、計算してから千円単位に丸めた。</t>
        </is>
      </c>
    </row>
  </sheetData>
  <mergeCells count="45">
    <mergeCell ref="D11:F11"/>
    <mergeCell ref="D13:F13"/>
    <mergeCell ref="D76:F76"/>
    <mergeCell ref="A84:F84"/>
    <mergeCell ref="D61:F61"/>
    <mergeCell ref="D48:F48"/>
    <mergeCell ref="D75:F75"/>
    <mergeCell ref="D7:F7"/>
    <mergeCell ref="D53:F53"/>
    <mergeCell ref="D78:F78"/>
    <mergeCell ref="D47:F47"/>
    <mergeCell ref="D16:F16"/>
    <mergeCell ref="A2:F2"/>
    <mergeCell ref="A71:F71"/>
    <mergeCell ref="D62:F62"/>
    <mergeCell ref="D12:F12"/>
    <mergeCell ref="D56:F56"/>
    <mergeCell ref="D58:F58"/>
    <mergeCell ref="D9:F9"/>
    <mergeCell ref="A22:F22"/>
    <mergeCell ref="D74:F74"/>
    <mergeCell ref="D8:F8"/>
    <mergeCell ref="D83:F83"/>
    <mergeCell ref="D15:F15"/>
    <mergeCell ref="D55:F55"/>
    <mergeCell ref="D73:F73"/>
    <mergeCell ref="D51:F51"/>
    <mergeCell ref="A63:F63"/>
    <mergeCell ref="D82:F82"/>
    <mergeCell ref="D14:F14"/>
    <mergeCell ref="D5:F5"/>
    <mergeCell ref="D79:F79"/>
    <mergeCell ref="D54:F54"/>
    <mergeCell ref="D50:F50"/>
    <mergeCell ref="D57:F57"/>
    <mergeCell ref="D59:F59"/>
    <mergeCell ref="D60:F60"/>
    <mergeCell ref="D81:F81"/>
    <mergeCell ref="D80:F80"/>
    <mergeCell ref="D46:F46"/>
    <mergeCell ref="D45:F45"/>
    <mergeCell ref="D52:F52"/>
    <mergeCell ref="D6:F6"/>
    <mergeCell ref="D77:F77"/>
    <mergeCell ref="D49:F49"/>
  </mergeCells>
  <conditionalFormatting sqref="C4:E85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24" customHeight="1">
      <c r="A1" s="1" t="inlineStr">
        <is>
          <t>導入支援：42人日＋交通費で原価141万円、値段200万円、粗利59万円</t>
        </is>
      </c>
    </row>
    <row r="2" ht="17.5" customHeight="1">
      <c r="A2" s="2" t="inlineStr">
        <is>
          <t>導入支援の人件費は原価に振り替える（販管費から引く）。tora_v2.js の SETUP_TASKS・setupDays・CSDAY・setupTravel と同じ（計算詳細版 p.13）。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" t="inlineStr">
        <is>
          <t>値</t>
        </is>
      </c>
      <c r="D3" s="5" t="n"/>
      <c r="E3" s="5" t="n"/>
      <c r="F3" s="5" t="inlineStr">
        <is>
          <t>式（言葉）</t>
        </is>
      </c>
    </row>
    <row r="4" ht="19" customHeight="1">
      <c r="A4" s="3" t="inlineStr">
        <is>
          <t>作業と人日（1拠点）</t>
        </is>
      </c>
      <c r="B4" s="4" t="n"/>
      <c r="C4" s="4" t="n"/>
      <c r="D4" s="4" t="n"/>
      <c r="E4" s="4" t="n"/>
      <c r="F4" s="4" t="n"/>
    </row>
    <row r="5" ht="17.5" customHeight="1">
      <c r="A5" s="7" t="inlineStr">
        <is>
          <t>現状調査・業務の流れの整理</t>
        </is>
      </c>
      <c r="B5" s="8" t="inlineStr">
        <is>
          <t>人日</t>
        </is>
      </c>
      <c r="C5" s="32">
        <f>'前提'!$E$82</f>
        <v>5</v>
      </c>
      <c r="D5" s="37" t="inlineStr">
        <is>
          <t>前提5-1</t>
        </is>
      </c>
    </row>
    <row r="6" ht="17.5" customHeight="1">
      <c r="A6" s="7" t="inlineStr">
        <is>
          <t>端末の設定・アカウント・端末管理</t>
        </is>
      </c>
      <c r="B6" s="8" t="inlineStr">
        <is>
          <t>人日</t>
        </is>
      </c>
      <c r="C6" s="32">
        <f>'前提'!$E$83</f>
        <v>3</v>
      </c>
      <c r="D6" s="37" t="inlineStr">
        <is>
          <t>前提5-2</t>
        </is>
      </c>
    </row>
    <row r="7" ht="17.5" customHeight="1">
      <c r="A7" s="7" t="inlineStr">
        <is>
          <t>図面・手順・報告書の型の登録</t>
        </is>
      </c>
      <c r="B7" s="8" t="inlineStr">
        <is>
          <t>人日</t>
        </is>
      </c>
      <c r="C7" s="32">
        <f>'前提'!$E$84</f>
        <v>10</v>
      </c>
      <c r="D7" s="37" t="inlineStr">
        <is>
          <t>前提5-3</t>
        </is>
      </c>
    </row>
    <row r="8" ht="17.5" customHeight="1">
      <c r="A8" s="7" t="inlineStr">
        <is>
          <t>職長・施工管理者への研修（2回）</t>
        </is>
      </c>
      <c r="B8" s="8" t="inlineStr">
        <is>
          <t>人日</t>
        </is>
      </c>
      <c r="C8" s="32">
        <f>'前提'!$E$85</f>
        <v>4</v>
      </c>
      <c r="D8" s="37" t="inlineStr">
        <is>
          <t>前提5-4</t>
        </is>
      </c>
    </row>
    <row r="9" ht="31" customHeight="1">
      <c r="A9" s="7" t="inlineStr">
        <is>
          <t>現場での立ち会い・初期の手直し（週2日×8週）</t>
        </is>
      </c>
      <c r="B9" s="8" t="inlineStr">
        <is>
          <t>人日</t>
        </is>
      </c>
      <c r="C9" s="32">
        <f>'前提'!$E$86</f>
        <v>16</v>
      </c>
      <c r="D9" s="37" t="inlineStr">
        <is>
          <t>前提5-5</t>
        </is>
      </c>
    </row>
    <row r="10" ht="17.5" customHeight="1">
      <c r="A10" s="7" t="inlineStr">
        <is>
          <t>導入前後の効果測定レポート</t>
        </is>
      </c>
      <c r="B10" s="8" t="inlineStr">
        <is>
          <t>人日</t>
        </is>
      </c>
      <c r="C10" s="32">
        <f>'前提'!$E$87</f>
        <v>4</v>
      </c>
      <c r="D10" s="37" t="inlineStr">
        <is>
          <t>前提5-6</t>
        </is>
      </c>
    </row>
    <row r="11" ht="17.5" customHeight="1">
      <c r="A11" s="6" t="inlineStr">
        <is>
          <t>合計（約2か月）</t>
        </is>
      </c>
      <c r="B11" s="8" t="inlineStr">
        <is>
          <t>人日</t>
        </is>
      </c>
      <c r="C11" s="43">
        <f>SUM($C$5:$C$10)</f>
        <v>42</v>
      </c>
      <c r="D11" s="37" t="inlineStr">
        <is>
          <t>6つの作業の合計</t>
        </is>
      </c>
    </row>
    <row r="12" ht="19" customHeight="1">
      <c r="A12" s="3" t="inlineStr">
        <is>
          <t>原価と粗利（1拠点）</t>
        </is>
      </c>
      <c r="B12" s="4" t="n"/>
      <c r="C12" s="4" t="n"/>
      <c r="D12" s="4" t="n"/>
      <c r="E12" s="4" t="n"/>
      <c r="F12" s="4" t="n"/>
    </row>
    <row r="13" ht="17.5" customHeight="1">
      <c r="A13" s="7" t="inlineStr">
        <is>
          <t>導入コンサルタントの年収</t>
        </is>
      </c>
      <c r="B13" s="8" t="inlineStr">
        <is>
          <t>万円/年</t>
        </is>
      </c>
      <c r="C13" s="32">
        <f>'前提'!$E$97</f>
        <v>600</v>
      </c>
      <c r="D13" s="37" t="inlineStr">
        <is>
          <t>前提6-5（1年目の値。tora_v2.js は600を直接使う）</t>
        </is>
      </c>
    </row>
    <row r="14" ht="17.5" customHeight="1">
      <c r="A14" s="7" t="inlineStr">
        <is>
          <t>会社負担を含める倍率</t>
        </is>
      </c>
      <c r="B14" s="8" t="inlineStr">
        <is>
          <t>倍</t>
        </is>
      </c>
      <c r="C14" s="34">
        <f>'前提'!$E$109</f>
        <v>1.2</v>
      </c>
      <c r="D14" s="37" t="inlineStr">
        <is>
          <t>前提6-17</t>
        </is>
      </c>
    </row>
    <row r="15" ht="17.5" customHeight="1">
      <c r="A15" s="7" t="inlineStr">
        <is>
          <t>年間稼働日</t>
        </is>
      </c>
      <c r="B15" s="8" t="inlineStr">
        <is>
          <t>日/年</t>
        </is>
      </c>
      <c r="C15" s="32">
        <f>'前提'!$E$89</f>
        <v>240</v>
      </c>
      <c r="D15" s="37" t="inlineStr">
        <is>
          <t>前提5-8</t>
        </is>
      </c>
    </row>
    <row r="16" ht="17.5" customHeight="1">
      <c r="A16" s="7" t="inlineStr">
        <is>
          <t>1人日の人件費</t>
        </is>
      </c>
      <c r="B16" s="8" t="inlineStr">
        <is>
          <t>万円/人日</t>
        </is>
      </c>
      <c r="C16" s="34">
        <f>$C$13*$C$14/$C$15</f>
        <v>3</v>
      </c>
      <c r="D16" s="37" t="inlineStr">
        <is>
          <t>年収600万円×1.2÷240日</t>
        </is>
      </c>
    </row>
    <row r="17" ht="17.5" customHeight="1">
      <c r="A17" s="7" t="inlineStr">
        <is>
          <t>人件費</t>
        </is>
      </c>
      <c r="B17" s="8" t="inlineStr">
        <is>
          <t>万円/拠点</t>
        </is>
      </c>
      <c r="C17" s="38">
        <f>$C$11*$C$16</f>
        <v>126</v>
      </c>
      <c r="D17" s="37" t="inlineStr">
        <is>
          <t>42人日×3万円</t>
        </is>
      </c>
    </row>
    <row r="18" ht="17.5" customHeight="1">
      <c r="A18" s="7" t="inlineStr">
        <is>
          <t>交通費</t>
        </is>
      </c>
      <c r="B18" s="8" t="inlineStr">
        <is>
          <t>万円/拠点</t>
        </is>
      </c>
      <c r="C18" s="32">
        <f>'前提'!$E$88</f>
        <v>15</v>
      </c>
      <c r="D18" s="37" t="inlineStr">
        <is>
          <t>16回訪問×約1万円</t>
        </is>
      </c>
    </row>
    <row r="19" ht="17.5" customHeight="1">
      <c r="A19" s="6" t="inlineStr">
        <is>
          <t>原価</t>
        </is>
      </c>
      <c r="B19" s="8" t="inlineStr">
        <is>
          <t>万円/拠点</t>
        </is>
      </c>
      <c r="C19" s="50">
        <f>$C$17+$C$18</f>
        <v>141</v>
      </c>
      <c r="D19" s="37" t="inlineStr">
        <is>
          <t>人件費＋交通費</t>
        </is>
      </c>
    </row>
    <row r="20" ht="17.5" customHeight="1">
      <c r="A20" s="7" t="inlineStr">
        <is>
          <t>値段</t>
        </is>
      </c>
      <c r="B20" s="8" t="inlineStr">
        <is>
          <t>万円/拠点</t>
        </is>
      </c>
      <c r="C20" s="32">
        <f>'前提'!$E$25</f>
        <v>200</v>
      </c>
      <c r="D20" s="37" t="inlineStr">
        <is>
          <t>前提2-5</t>
        </is>
      </c>
    </row>
    <row r="21" ht="17.5" customHeight="1">
      <c r="A21" s="6" t="inlineStr">
        <is>
          <t>粗利</t>
        </is>
      </c>
      <c r="B21" s="8" t="inlineStr">
        <is>
          <t>万円/拠点</t>
        </is>
      </c>
      <c r="C21" s="50">
        <f>$C$20-$C$19</f>
        <v>59</v>
      </c>
      <c r="D21" s="37" t="inlineStr">
        <is>
          <t>値段−原価</t>
        </is>
      </c>
    </row>
    <row r="22" ht="17.5" customHeight="1">
      <c r="A22" s="7" t="inlineStr">
        <is>
          <t>粗利率</t>
        </is>
      </c>
      <c r="B22" s="8" t="inlineStr">
        <is>
          <t>割合</t>
        </is>
      </c>
      <c r="C22" s="46">
        <f>$C$21/$C$20</f>
        <v>0.295</v>
      </c>
      <c r="D22" s="37" t="inlineStr">
        <is>
          <t>粗利÷値段</t>
        </is>
      </c>
    </row>
    <row r="23" ht="19" customHeight="1">
      <c r="A23" s="3" t="inlineStr">
        <is>
          <t>お客様の支払い（1拠点）</t>
        </is>
      </c>
      <c r="B23" s="4" t="n"/>
      <c r="C23" s="4" t="n"/>
      <c r="D23" s="4" t="n"/>
      <c r="E23" s="4" t="n"/>
      <c r="F23" s="4" t="n"/>
    </row>
    <row r="24" ht="17.5" customHeight="1">
      <c r="A24" s="6" t="inlineStr">
        <is>
          <t>お客様の1年目の支払い</t>
        </is>
      </c>
      <c r="B24" s="8" t="inlineStr">
        <is>
          <t>万円</t>
        </is>
      </c>
      <c r="C24" s="36">
        <f>'お客様の効果'!$C$21+'お客様の効果'!$C$24+$C$20</f>
        <v>531.68</v>
      </c>
      <c r="D24" s="37" t="inlineStr">
        <is>
          <t>利用料300＋リース31.68＋導入支援200</t>
        </is>
      </c>
    </row>
    <row r="25" ht="17.5" customHeight="1">
      <c r="A25" s="7" t="inlineStr">
        <is>
          <t>お客様の2年目以降の支払い</t>
        </is>
      </c>
      <c r="B25" s="8" t="inlineStr">
        <is>
          <t>万円/年</t>
        </is>
      </c>
      <c r="C25" s="34">
        <f>'お客様の効果'!$C$25</f>
        <v>331.68</v>
      </c>
      <c r="D25" s="37" t="inlineStr">
        <is>
          <t>利用料300＋リース31.68</t>
        </is>
      </c>
    </row>
    <row r="26" ht="17.5" customHeight="1">
      <c r="A26" s="7" t="inlineStr">
        <is>
          <t>そのうち当社の売上（利用料）</t>
        </is>
      </c>
      <c r="B26" s="8" t="inlineStr">
        <is>
          <t>万円/年</t>
        </is>
      </c>
      <c r="C26" s="32">
        <f>'お客様の効果'!$C$21</f>
        <v>300</v>
      </c>
      <c r="D26" s="37" t="inlineStr">
        <is>
          <t>1年目は導入支援200万円も当社の売上</t>
        </is>
      </c>
    </row>
    <row r="27" ht="17.5" customHeight="1">
      <c r="A27" s="2" t="inlineStr">
        <is>
          <t>注：当社の売上は利用料300万円（初年度は導入支援200万円も）。リース31.7万円はお客様からリース会社へ払うもので、当社の売上ではない。</t>
        </is>
      </c>
    </row>
    <row r="28" ht="17.5" customHeight="1">
      <c r="A28" s="2" t="inlineStr">
        <is>
          <t>注：導入コンサルタント1人が回せる新規拠点は年6（2か月で1拠点）。新規拠点がこの上限内かは「体制と人件費」で確かめる。</t>
        </is>
      </c>
    </row>
  </sheetData>
  <mergeCells count="23">
    <mergeCell ref="D11:F11"/>
    <mergeCell ref="D13:F13"/>
    <mergeCell ref="A27:F27"/>
    <mergeCell ref="D17:F17"/>
    <mergeCell ref="D7:F7"/>
    <mergeCell ref="D16:F16"/>
    <mergeCell ref="A2:F2"/>
    <mergeCell ref="D18:F18"/>
    <mergeCell ref="D9:F9"/>
    <mergeCell ref="D8:F8"/>
    <mergeCell ref="D25:F25"/>
    <mergeCell ref="D15:F15"/>
    <mergeCell ref="D24:F24"/>
    <mergeCell ref="D14:F14"/>
    <mergeCell ref="A28:F28"/>
    <mergeCell ref="D5:F5"/>
    <mergeCell ref="D26:F26"/>
    <mergeCell ref="D20:F20"/>
    <mergeCell ref="D10:F10"/>
    <mergeCell ref="D19:F19"/>
    <mergeCell ref="D22:F22"/>
    <mergeCell ref="D21:F21"/>
    <mergeCell ref="D6:F6"/>
  </mergeCells>
  <conditionalFormatting sqref="C4:E29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1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0" customWidth="1" min="13" max="13"/>
  </cols>
  <sheetData>
    <row r="1" ht="24" customHeight="1">
      <c r="A1" s="1" t="inlineStr">
        <is>
          <t>体制と人件費：8つの役割×年収×人数。5年目は23人</t>
        </is>
      </c>
    </row>
    <row r="2" ht="17.5" customHeight="1">
      <c r="A2" s="2" t="inlineStr">
        <is>
          <t>人件費＝年収×人数×1.2（会社負担）。採用費＝増えた人数×年収×15%。tora_v2.js の team() と run() の人件費・採用費と同じ（計算詳細版 p.17）。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" t="inlineStr">
        <is>
          <t>式（言葉）</t>
        </is>
      </c>
    </row>
    <row r="4" ht="19" customHeight="1">
      <c r="A4" s="3" t="inlineStr">
        <is>
          <t>年収（万円/年）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7.5" customHeight="1">
      <c r="A5" s="7" t="inlineStr">
        <is>
          <t>年収：代表（創業者）</t>
        </is>
      </c>
      <c r="B5" s="8" t="inlineStr">
        <is>
          <t>万円/年</t>
        </is>
      </c>
      <c r="C5" s="22">
        <f>'前提'!$E$93</f>
        <v>480</v>
      </c>
      <c r="D5" s="22">
        <f>'前提'!$F$93</f>
        <v>600</v>
      </c>
      <c r="E5" s="22">
        <f>'前提'!$G$93</f>
        <v>720</v>
      </c>
      <c r="F5" s="22">
        <f>'前提'!$H$93</f>
        <v>720</v>
      </c>
      <c r="G5" s="22">
        <f>'前提'!$I$93</f>
        <v>720</v>
      </c>
      <c r="H5" s="22">
        <f>'前提'!$J$93</f>
        <v>720</v>
      </c>
      <c r="I5" s="22">
        <f>'前提'!$K$93</f>
        <v>720</v>
      </c>
      <c r="J5" s="22">
        <f>'前提'!$L$93</f>
        <v>720</v>
      </c>
      <c r="K5" s="22">
        <f>'前提'!$M$93</f>
        <v>720</v>
      </c>
      <c r="L5" s="22">
        <f>'前提'!$N$93</f>
        <v>720</v>
      </c>
      <c r="M5" s="37" t="inlineStr">
        <is>
          <t>前提6-1</t>
        </is>
      </c>
    </row>
    <row r="6" ht="17.5" customHeight="1">
      <c r="A6" s="7" t="inlineStr">
        <is>
          <t>年収：CTO</t>
        </is>
      </c>
      <c r="B6" s="8" t="inlineStr">
        <is>
          <t>万円/年</t>
        </is>
      </c>
      <c r="C6" s="22">
        <f>'前提'!$E$94</f>
        <v>1000</v>
      </c>
      <c r="D6" s="22">
        <f>'前提'!$F$94</f>
        <v>1000</v>
      </c>
      <c r="E6" s="22">
        <f>'前提'!$G$94</f>
        <v>1000</v>
      </c>
      <c r="F6" s="22">
        <f>'前提'!$H$94</f>
        <v>1000</v>
      </c>
      <c r="G6" s="22">
        <f>'前提'!$I$94</f>
        <v>1000</v>
      </c>
      <c r="H6" s="22">
        <f>'前提'!$J$94</f>
        <v>1000</v>
      </c>
      <c r="I6" s="22">
        <f>'前提'!$K$94</f>
        <v>1000</v>
      </c>
      <c r="J6" s="22">
        <f>'前提'!$L$94</f>
        <v>1000</v>
      </c>
      <c r="K6" s="22">
        <f>'前提'!$M$94</f>
        <v>1000</v>
      </c>
      <c r="L6" s="22">
        <f>'前提'!$N$94</f>
        <v>1000</v>
      </c>
      <c r="M6" s="37" t="inlineStr">
        <is>
          <t>前提6-2</t>
        </is>
      </c>
    </row>
    <row r="7" ht="17.5" customHeight="1">
      <c r="A7" s="7" t="inlineStr">
        <is>
          <t>年収：エンジニア</t>
        </is>
      </c>
      <c r="B7" s="8" t="inlineStr">
        <is>
          <t>万円/年</t>
        </is>
      </c>
      <c r="C7" s="22">
        <f>'前提'!$E$95</f>
        <v>800</v>
      </c>
      <c r="D7" s="22">
        <f>'前提'!$F$95</f>
        <v>800</v>
      </c>
      <c r="E7" s="22">
        <f>'前提'!$G$95</f>
        <v>800</v>
      </c>
      <c r="F7" s="22">
        <f>'前提'!$H$95</f>
        <v>800</v>
      </c>
      <c r="G7" s="22">
        <f>'前提'!$I$95</f>
        <v>800</v>
      </c>
      <c r="H7" s="22">
        <f>'前提'!$J$95</f>
        <v>800</v>
      </c>
      <c r="I7" s="22">
        <f>'前提'!$K$95</f>
        <v>800</v>
      </c>
      <c r="J7" s="22">
        <f>'前提'!$L$95</f>
        <v>800</v>
      </c>
      <c r="K7" s="22">
        <f>'前提'!$M$95</f>
        <v>800</v>
      </c>
      <c r="L7" s="22">
        <f>'前提'!$N$95</f>
        <v>800</v>
      </c>
      <c r="M7" s="37" t="inlineStr">
        <is>
          <t>前提6-3</t>
        </is>
      </c>
    </row>
    <row r="8" ht="17.5" customHeight="1">
      <c r="A8" s="7" t="inlineStr">
        <is>
          <t>年収：現場監修（施工管理経験者）</t>
        </is>
      </c>
      <c r="B8" s="8" t="inlineStr">
        <is>
          <t>万円/年</t>
        </is>
      </c>
      <c r="C8" s="22">
        <f>'前提'!$E$96</f>
        <v>650</v>
      </c>
      <c r="D8" s="22">
        <f>'前提'!$F$96</f>
        <v>650</v>
      </c>
      <c r="E8" s="22">
        <f>'前提'!$G$96</f>
        <v>650</v>
      </c>
      <c r="F8" s="22">
        <f>'前提'!$H$96</f>
        <v>650</v>
      </c>
      <c r="G8" s="22">
        <f>'前提'!$I$96</f>
        <v>650</v>
      </c>
      <c r="H8" s="22">
        <f>'前提'!$J$96</f>
        <v>650</v>
      </c>
      <c r="I8" s="22">
        <f>'前提'!$K$96</f>
        <v>650</v>
      </c>
      <c r="J8" s="22">
        <f>'前提'!$L$96</f>
        <v>650</v>
      </c>
      <c r="K8" s="22">
        <f>'前提'!$M$96</f>
        <v>650</v>
      </c>
      <c r="L8" s="22">
        <f>'前提'!$N$96</f>
        <v>650</v>
      </c>
      <c r="M8" s="37" t="inlineStr">
        <is>
          <t>前提6-4</t>
        </is>
      </c>
    </row>
    <row r="9" ht="17.5" customHeight="1">
      <c r="A9" s="7" t="inlineStr">
        <is>
          <t>年収：導入コンサルタント</t>
        </is>
      </c>
      <c r="B9" s="8" t="inlineStr">
        <is>
          <t>万円/年</t>
        </is>
      </c>
      <c r="C9" s="22">
        <f>'前提'!$E$97</f>
        <v>600</v>
      </c>
      <c r="D9" s="22">
        <f>'前提'!$F$97</f>
        <v>600</v>
      </c>
      <c r="E9" s="22">
        <f>'前提'!$G$97</f>
        <v>600</v>
      </c>
      <c r="F9" s="22">
        <f>'前提'!$H$97</f>
        <v>600</v>
      </c>
      <c r="G9" s="22">
        <f>'前提'!$I$97</f>
        <v>600</v>
      </c>
      <c r="H9" s="22">
        <f>'前提'!$J$97</f>
        <v>600</v>
      </c>
      <c r="I9" s="22">
        <f>'前提'!$K$97</f>
        <v>600</v>
      </c>
      <c r="J9" s="22">
        <f>'前提'!$L$97</f>
        <v>600</v>
      </c>
      <c r="K9" s="22">
        <f>'前提'!$M$97</f>
        <v>600</v>
      </c>
      <c r="L9" s="22">
        <f>'前提'!$N$97</f>
        <v>600</v>
      </c>
      <c r="M9" s="37" t="inlineStr">
        <is>
          <t>前提6-5</t>
        </is>
      </c>
    </row>
    <row r="10" ht="17.5" customHeight="1">
      <c r="A10" s="7" t="inlineStr">
        <is>
          <t>年収：営業（技術営業）</t>
        </is>
      </c>
      <c r="B10" s="8" t="inlineStr">
        <is>
          <t>万円/年</t>
        </is>
      </c>
      <c r="C10" s="22">
        <f>'前提'!$E$98</f>
        <v>650</v>
      </c>
      <c r="D10" s="22">
        <f>'前提'!$F$98</f>
        <v>650</v>
      </c>
      <c r="E10" s="22">
        <f>'前提'!$G$98</f>
        <v>650</v>
      </c>
      <c r="F10" s="22">
        <f>'前提'!$H$98</f>
        <v>650</v>
      </c>
      <c r="G10" s="22">
        <f>'前提'!$I$98</f>
        <v>650</v>
      </c>
      <c r="H10" s="22">
        <f>'前提'!$J$98</f>
        <v>650</v>
      </c>
      <c r="I10" s="22">
        <f>'前提'!$K$98</f>
        <v>650</v>
      </c>
      <c r="J10" s="22">
        <f>'前提'!$L$98</f>
        <v>650</v>
      </c>
      <c r="K10" s="22">
        <f>'前提'!$M$98</f>
        <v>650</v>
      </c>
      <c r="L10" s="22">
        <f>'前提'!$N$98</f>
        <v>650</v>
      </c>
      <c r="M10" s="37" t="inlineStr">
        <is>
          <t>前提6-6</t>
        </is>
      </c>
    </row>
    <row r="11" ht="17.5" customHeight="1">
      <c r="A11" s="7" t="inlineStr">
        <is>
          <t>年収：管理（人事・経理・総務）</t>
        </is>
      </c>
      <c r="B11" s="8" t="inlineStr">
        <is>
          <t>万円/年</t>
        </is>
      </c>
      <c r="C11" s="22">
        <f>'前提'!$E$99</f>
        <v>550</v>
      </c>
      <c r="D11" s="22">
        <f>'前提'!$F$99</f>
        <v>550</v>
      </c>
      <c r="E11" s="22">
        <f>'前提'!$G$99</f>
        <v>550</v>
      </c>
      <c r="F11" s="22">
        <f>'前提'!$H$99</f>
        <v>550</v>
      </c>
      <c r="G11" s="22">
        <f>'前提'!$I$99</f>
        <v>550</v>
      </c>
      <c r="H11" s="22">
        <f>'前提'!$J$99</f>
        <v>550</v>
      </c>
      <c r="I11" s="22">
        <f>'前提'!$K$99</f>
        <v>550</v>
      </c>
      <c r="J11" s="22">
        <f>'前提'!$L$99</f>
        <v>550</v>
      </c>
      <c r="K11" s="22">
        <f>'前提'!$M$99</f>
        <v>550</v>
      </c>
      <c r="L11" s="22">
        <f>'前提'!$N$99</f>
        <v>550</v>
      </c>
      <c r="M11" s="37" t="inlineStr">
        <is>
          <t>前提6-7</t>
        </is>
      </c>
    </row>
    <row r="12" ht="17.5" customHeight="1">
      <c r="A12" s="7" t="inlineStr">
        <is>
          <t>年収：戦略企画</t>
        </is>
      </c>
      <c r="B12" s="8" t="inlineStr">
        <is>
          <t>万円/年</t>
        </is>
      </c>
      <c r="C12" s="22">
        <f>'前提'!$E$100</f>
        <v>700</v>
      </c>
      <c r="D12" s="22">
        <f>'前提'!$F$100</f>
        <v>700</v>
      </c>
      <c r="E12" s="22">
        <f>'前提'!$G$100</f>
        <v>700</v>
      </c>
      <c r="F12" s="22">
        <f>'前提'!$H$100</f>
        <v>700</v>
      </c>
      <c r="G12" s="22">
        <f>'前提'!$I$100</f>
        <v>700</v>
      </c>
      <c r="H12" s="22">
        <f>'前提'!$J$100</f>
        <v>700</v>
      </c>
      <c r="I12" s="22">
        <f>'前提'!$K$100</f>
        <v>700</v>
      </c>
      <c r="J12" s="22">
        <f>'前提'!$L$100</f>
        <v>700</v>
      </c>
      <c r="K12" s="22">
        <f>'前提'!$M$100</f>
        <v>700</v>
      </c>
      <c r="L12" s="22">
        <f>'前提'!$N$100</f>
        <v>700</v>
      </c>
      <c r="M12" s="37" t="inlineStr">
        <is>
          <t>前提6-8</t>
        </is>
      </c>
    </row>
    <row r="13" ht="19" customHeight="1">
      <c r="A13" s="3" t="inlineStr">
        <is>
          <t>人数（期末）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7.5" customHeight="1">
      <c r="A14" s="7" t="inlineStr">
        <is>
          <t>人数：代表（創業者）</t>
        </is>
      </c>
      <c r="B14" s="8" t="inlineStr">
        <is>
          <t>人</t>
        </is>
      </c>
      <c r="C14" s="22">
        <f>'前提'!$E$101</f>
        <v>1</v>
      </c>
      <c r="D14" s="22">
        <f>'前提'!$F$101</f>
        <v>1</v>
      </c>
      <c r="E14" s="22">
        <f>'前提'!$G$101</f>
        <v>1</v>
      </c>
      <c r="F14" s="22">
        <f>'前提'!$H$101</f>
        <v>1</v>
      </c>
      <c r="G14" s="22">
        <f>'前提'!$I$101</f>
        <v>1</v>
      </c>
      <c r="H14" s="22">
        <f>'前提'!$J$101</f>
        <v>1</v>
      </c>
      <c r="I14" s="22">
        <f>'前提'!$K$101</f>
        <v>1</v>
      </c>
      <c r="J14" s="22">
        <f>'前提'!$L$101</f>
        <v>1</v>
      </c>
      <c r="K14" s="22">
        <f>'前提'!$M$101</f>
        <v>1</v>
      </c>
      <c r="L14" s="22">
        <f>'前提'!$N$101</f>
        <v>1</v>
      </c>
      <c r="M14" s="37" t="inlineStr">
        <is>
          <t>前提6-9</t>
        </is>
      </c>
    </row>
    <row r="15" ht="17.5" customHeight="1">
      <c r="A15" s="7" t="inlineStr">
        <is>
          <t>人数：CTO</t>
        </is>
      </c>
      <c r="B15" s="8" t="inlineStr">
        <is>
          <t>人</t>
        </is>
      </c>
      <c r="C15" s="22">
        <f>'前提'!$E$102</f>
        <v>1</v>
      </c>
      <c r="D15" s="22">
        <f>'前提'!$F$102</f>
        <v>1</v>
      </c>
      <c r="E15" s="22">
        <f>'前提'!$G$102</f>
        <v>1</v>
      </c>
      <c r="F15" s="22">
        <f>'前提'!$H$102</f>
        <v>1</v>
      </c>
      <c r="G15" s="22">
        <f>'前提'!$I$102</f>
        <v>1</v>
      </c>
      <c r="H15" s="22">
        <f>'前提'!$J$102</f>
        <v>1</v>
      </c>
      <c r="I15" s="22">
        <f>'前提'!$K$102</f>
        <v>1</v>
      </c>
      <c r="J15" s="22">
        <f>'前提'!$L$102</f>
        <v>1</v>
      </c>
      <c r="K15" s="22">
        <f>'前提'!$M$102</f>
        <v>1</v>
      </c>
      <c r="L15" s="22">
        <f>'前提'!$N$102</f>
        <v>1</v>
      </c>
      <c r="M15" s="37" t="inlineStr">
        <is>
          <t>前提6-10</t>
        </is>
      </c>
    </row>
    <row r="16" ht="17.5" customHeight="1">
      <c r="A16" s="7" t="inlineStr">
        <is>
          <t>人数：エンジニア</t>
        </is>
      </c>
      <c r="B16" s="8" t="inlineStr">
        <is>
          <t>人</t>
        </is>
      </c>
      <c r="C16" s="22">
        <f>'前提'!$E$103</f>
        <v>1</v>
      </c>
      <c r="D16" s="22">
        <f>'前提'!$F$103</f>
        <v>2</v>
      </c>
      <c r="E16" s="22">
        <f>'前提'!$G$103</f>
        <v>3</v>
      </c>
      <c r="F16" s="22">
        <f>'前提'!$H$103</f>
        <v>4</v>
      </c>
      <c r="G16" s="22">
        <f>'前提'!$I$103</f>
        <v>5</v>
      </c>
      <c r="H16" s="22">
        <f>'前提'!$J$103</f>
        <v>6</v>
      </c>
      <c r="I16" s="22">
        <f>'前提'!$K$103</f>
        <v>6</v>
      </c>
      <c r="J16" s="22">
        <f>'前提'!$L$103</f>
        <v>7</v>
      </c>
      <c r="K16" s="22">
        <f>'前提'!$M$103</f>
        <v>7</v>
      </c>
      <c r="L16" s="22">
        <f>'前提'!$N$103</f>
        <v>8</v>
      </c>
      <c r="M16" s="37" t="inlineStr">
        <is>
          <t>前提6-11</t>
        </is>
      </c>
    </row>
    <row r="17" ht="17.5" customHeight="1">
      <c r="A17" s="7" t="inlineStr">
        <is>
          <t>人数：現場監修（施工管理経験者）</t>
        </is>
      </c>
      <c r="B17" s="8" t="inlineStr">
        <is>
          <t>人</t>
        </is>
      </c>
      <c r="C17" s="22">
        <f>'前提'!$E$104</f>
        <v>1</v>
      </c>
      <c r="D17" s="22">
        <f>'前提'!$F$104</f>
        <v>1</v>
      </c>
      <c r="E17" s="22">
        <f>'前提'!$G$104</f>
        <v>1</v>
      </c>
      <c r="F17" s="22">
        <f>'前提'!$H$104</f>
        <v>1</v>
      </c>
      <c r="G17" s="22">
        <f>'前提'!$I$104</f>
        <v>2</v>
      </c>
      <c r="H17" s="22">
        <f>'前提'!$J$104</f>
        <v>2</v>
      </c>
      <c r="I17" s="22">
        <f>'前提'!$K$104</f>
        <v>3</v>
      </c>
      <c r="J17" s="22">
        <f>'前提'!$L$104</f>
        <v>3</v>
      </c>
      <c r="K17" s="22">
        <f>'前提'!$M$104</f>
        <v>3</v>
      </c>
      <c r="L17" s="22">
        <f>'前提'!$N$104</f>
        <v>4</v>
      </c>
      <c r="M17" s="37" t="inlineStr">
        <is>
          <t>前提6-12</t>
        </is>
      </c>
    </row>
    <row r="18" ht="17.5" customHeight="1">
      <c r="A18" s="7" t="inlineStr">
        <is>
          <t>人数：導入コンサルタント</t>
        </is>
      </c>
      <c r="B18" s="8" t="inlineStr">
        <is>
          <t>人</t>
        </is>
      </c>
      <c r="C18" s="22">
        <f>'前提'!$E$105</f>
        <v>1</v>
      </c>
      <c r="D18" s="22">
        <f>'前提'!$F$105</f>
        <v>2</v>
      </c>
      <c r="E18" s="22">
        <f>'前提'!$G$105</f>
        <v>4</v>
      </c>
      <c r="F18" s="22">
        <f>'前提'!$H$105</f>
        <v>6</v>
      </c>
      <c r="G18" s="22">
        <f>'前提'!$I$105</f>
        <v>8</v>
      </c>
      <c r="H18" s="22">
        <f>'前提'!$J$105</f>
        <v>8</v>
      </c>
      <c r="I18" s="22">
        <f>'前提'!$K$105</f>
        <v>9</v>
      </c>
      <c r="J18" s="22">
        <f>'前提'!$L$105</f>
        <v>9</v>
      </c>
      <c r="K18" s="22">
        <f>'前提'!$M$105</f>
        <v>9</v>
      </c>
      <c r="L18" s="22">
        <f>'前提'!$N$105</f>
        <v>9</v>
      </c>
      <c r="M18" s="37" t="inlineStr">
        <is>
          <t>前提6-13</t>
        </is>
      </c>
    </row>
    <row r="19" ht="17.5" customHeight="1">
      <c r="A19" s="7" t="inlineStr">
        <is>
          <t>人数：営業（技術営業）</t>
        </is>
      </c>
      <c r="B19" s="8" t="inlineStr">
        <is>
          <t>人</t>
        </is>
      </c>
      <c r="C19" s="22">
        <f>'前提'!$E$106</f>
        <v>0</v>
      </c>
      <c r="D19" s="22">
        <f>'前提'!$F$106</f>
        <v>1</v>
      </c>
      <c r="E19" s="22">
        <f>'前提'!$G$106</f>
        <v>1</v>
      </c>
      <c r="F19" s="22">
        <f>'前提'!$H$106</f>
        <v>3</v>
      </c>
      <c r="G19" s="22">
        <f>'前提'!$I$106</f>
        <v>3</v>
      </c>
      <c r="H19" s="22">
        <f>'前提'!$J$106</f>
        <v>3</v>
      </c>
      <c r="I19" s="22">
        <f>'前提'!$K$106</f>
        <v>4</v>
      </c>
      <c r="J19" s="22">
        <f>'前提'!$L$106</f>
        <v>4</v>
      </c>
      <c r="K19" s="22">
        <f>'前提'!$M$106</f>
        <v>4</v>
      </c>
      <c r="L19" s="22">
        <f>'前提'!$N$106</f>
        <v>4</v>
      </c>
      <c r="M19" s="37" t="inlineStr">
        <is>
          <t>前提6-14</t>
        </is>
      </c>
    </row>
    <row r="20" ht="17.5" customHeight="1">
      <c r="A20" s="7" t="inlineStr">
        <is>
          <t>人数：管理（人事・経理・総務）</t>
        </is>
      </c>
      <c r="B20" s="8" t="inlineStr">
        <is>
          <t>人</t>
        </is>
      </c>
      <c r="C20" s="22">
        <f>'前提'!$E$107</f>
        <v>0</v>
      </c>
      <c r="D20" s="22">
        <f>'前提'!$F$107</f>
        <v>0</v>
      </c>
      <c r="E20" s="22">
        <f>'前提'!$G$107</f>
        <v>1</v>
      </c>
      <c r="F20" s="22">
        <f>'前提'!$H$107</f>
        <v>1</v>
      </c>
      <c r="G20" s="22">
        <f>'前提'!$I$107</f>
        <v>2</v>
      </c>
      <c r="H20" s="22">
        <f>'前提'!$J$107</f>
        <v>2</v>
      </c>
      <c r="I20" s="22">
        <f>'前提'!$K$107</f>
        <v>2</v>
      </c>
      <c r="J20" s="22">
        <f>'前提'!$L$107</f>
        <v>3</v>
      </c>
      <c r="K20" s="22">
        <f>'前提'!$M$107</f>
        <v>3</v>
      </c>
      <c r="L20" s="22">
        <f>'前提'!$N$107</f>
        <v>3</v>
      </c>
      <c r="M20" s="37" t="inlineStr">
        <is>
          <t>前提6-15</t>
        </is>
      </c>
    </row>
    <row r="21" ht="17.5" customHeight="1">
      <c r="A21" s="7" t="inlineStr">
        <is>
          <t>人数：戦略企画</t>
        </is>
      </c>
      <c r="B21" s="8" t="inlineStr">
        <is>
          <t>人</t>
        </is>
      </c>
      <c r="C21" s="22">
        <f>'前提'!$E$108</f>
        <v>0</v>
      </c>
      <c r="D21" s="22">
        <f>'前提'!$F$108</f>
        <v>0</v>
      </c>
      <c r="E21" s="22">
        <f>'前提'!$G$108</f>
        <v>0</v>
      </c>
      <c r="F21" s="22">
        <f>'前提'!$H$108</f>
        <v>1</v>
      </c>
      <c r="G21" s="22">
        <f>'前提'!$I$108</f>
        <v>1</v>
      </c>
      <c r="H21" s="22">
        <f>'前提'!$J$108</f>
        <v>1</v>
      </c>
      <c r="I21" s="22">
        <f>'前提'!$K$108</f>
        <v>1</v>
      </c>
      <c r="J21" s="22">
        <f>'前提'!$L$108</f>
        <v>1</v>
      </c>
      <c r="K21" s="22">
        <f>'前提'!$M$108</f>
        <v>2</v>
      </c>
      <c r="L21" s="22">
        <f>'前提'!$N$108</f>
        <v>2</v>
      </c>
      <c r="M21" s="37" t="inlineStr">
        <is>
          <t>前提6-16</t>
        </is>
      </c>
    </row>
    <row r="22" ht="17.5" customHeight="1">
      <c r="A22" s="6" t="inlineStr">
        <is>
          <t>計画の社員数</t>
        </is>
      </c>
      <c r="B22" s="8" t="inlineStr">
        <is>
          <t>人</t>
        </is>
      </c>
      <c r="C22" s="52">
        <f>SUM(C14:C21)</f>
        <v>5</v>
      </c>
      <c r="D22" s="52">
        <f>SUM(D14:D21)</f>
        <v>8</v>
      </c>
      <c r="E22" s="52">
        <f>SUM(E14:E21)</f>
        <v>12</v>
      </c>
      <c r="F22" s="52">
        <f>SUM(F14:F21)</f>
        <v>18</v>
      </c>
      <c r="G22" s="52">
        <f>SUM(G14:G21)</f>
        <v>23</v>
      </c>
      <c r="H22" s="52">
        <f>SUM(H14:H21)</f>
        <v>24</v>
      </c>
      <c r="I22" s="52">
        <f>SUM(I14:I21)</f>
        <v>27</v>
      </c>
      <c r="J22" s="52">
        <f>SUM(J14:J21)</f>
        <v>29</v>
      </c>
      <c r="K22" s="52">
        <f>SUM(K14:K21)</f>
        <v>30</v>
      </c>
      <c r="L22" s="52">
        <f>SUM(L14:L21)</f>
        <v>32</v>
      </c>
      <c r="M22" s="37" t="inlineStr">
        <is>
          <t>8つの役割の合計</t>
        </is>
      </c>
    </row>
    <row r="23" ht="19" customHeight="1">
      <c r="A23" s="3" t="inlineStr">
        <is>
          <t>人件費（年収×人数×会社負担）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17.5" customHeight="1">
      <c r="A24" s="7" t="inlineStr">
        <is>
          <t>人件費：代表（創業者）</t>
        </is>
      </c>
      <c r="B24" s="8" t="inlineStr">
        <is>
          <t>万円/年</t>
        </is>
      </c>
      <c r="C24" s="22">
        <f>$C$5*$C$14*'前提'!$E$109</f>
        <v>576</v>
      </c>
      <c r="D24" s="22">
        <f>$D$5*$D$14*'前提'!$E$109</f>
        <v>720</v>
      </c>
      <c r="E24" s="22">
        <f>$E$5*$E$14*'前提'!$E$109</f>
        <v>864</v>
      </c>
      <c r="F24" s="22">
        <f>$F$5*$F$14*'前提'!$E$109</f>
        <v>864</v>
      </c>
      <c r="G24" s="22">
        <f>$G$5*$G$14*'前提'!$E$109</f>
        <v>864</v>
      </c>
      <c r="H24" s="22">
        <f>$H$5*$H$14*'前提'!$E$109</f>
        <v>864</v>
      </c>
      <c r="I24" s="22">
        <f>$I$5*$I$14*'前提'!$E$109</f>
        <v>864</v>
      </c>
      <c r="J24" s="22">
        <f>$J$5*$J$14*'前提'!$E$109</f>
        <v>864</v>
      </c>
      <c r="K24" s="22">
        <f>$K$5*$K$14*'前提'!$E$109</f>
        <v>864</v>
      </c>
      <c r="L24" s="22">
        <f>$L$5*$L$14*'前提'!$E$109</f>
        <v>864</v>
      </c>
      <c r="M24" s="37" t="inlineStr">
        <is>
          <t>年収×人数×1.2</t>
        </is>
      </c>
    </row>
    <row r="25" ht="17.5" customHeight="1">
      <c r="A25" s="7" t="inlineStr">
        <is>
          <t>人件費：CTO</t>
        </is>
      </c>
      <c r="B25" s="8" t="inlineStr">
        <is>
          <t>万円/年</t>
        </is>
      </c>
      <c r="C25" s="22">
        <f>$C$6*$C$15*'前提'!$E$109</f>
        <v>1200</v>
      </c>
      <c r="D25" s="22">
        <f>$D$6*$D$15*'前提'!$E$109</f>
        <v>1200</v>
      </c>
      <c r="E25" s="22">
        <f>$E$6*$E$15*'前提'!$E$109</f>
        <v>1200</v>
      </c>
      <c r="F25" s="22">
        <f>$F$6*$F$15*'前提'!$E$109</f>
        <v>1200</v>
      </c>
      <c r="G25" s="22">
        <f>$G$6*$G$15*'前提'!$E$109</f>
        <v>1200</v>
      </c>
      <c r="H25" s="22">
        <f>$H$6*$H$15*'前提'!$E$109</f>
        <v>1200</v>
      </c>
      <c r="I25" s="22">
        <f>$I$6*$I$15*'前提'!$E$109</f>
        <v>1200</v>
      </c>
      <c r="J25" s="22">
        <f>$J$6*$J$15*'前提'!$E$109</f>
        <v>1200</v>
      </c>
      <c r="K25" s="22">
        <f>$K$6*$K$15*'前提'!$E$109</f>
        <v>1200</v>
      </c>
      <c r="L25" s="22">
        <f>$L$6*$L$15*'前提'!$E$109</f>
        <v>1200</v>
      </c>
      <c r="M25" s="37" t="inlineStr">
        <is>
          <t>年収×人数×1.2</t>
        </is>
      </c>
    </row>
    <row r="26" ht="17.5" customHeight="1">
      <c r="A26" s="7" t="inlineStr">
        <is>
          <t>人件費：エンジニア</t>
        </is>
      </c>
      <c r="B26" s="8" t="inlineStr">
        <is>
          <t>万円/年</t>
        </is>
      </c>
      <c r="C26" s="22">
        <f>$C$7*$C$16*'前提'!$E$109</f>
        <v>960</v>
      </c>
      <c r="D26" s="22">
        <f>$D$7*$D$16*'前提'!$E$109</f>
        <v>1920</v>
      </c>
      <c r="E26" s="22">
        <f>$E$7*$E$16*'前提'!$E$109</f>
        <v>2880</v>
      </c>
      <c r="F26" s="22">
        <f>$F$7*$F$16*'前提'!$E$109</f>
        <v>3840</v>
      </c>
      <c r="G26" s="22">
        <f>$G$7*$G$16*'前提'!$E$109</f>
        <v>4800</v>
      </c>
      <c r="H26" s="22">
        <f>$H$7*$H$16*'前提'!$E$109</f>
        <v>5760</v>
      </c>
      <c r="I26" s="22">
        <f>$I$7*$I$16*'前提'!$E$109</f>
        <v>5760</v>
      </c>
      <c r="J26" s="22">
        <f>$J$7*$J$16*'前提'!$E$109</f>
        <v>6720</v>
      </c>
      <c r="K26" s="22">
        <f>$K$7*$K$16*'前提'!$E$109</f>
        <v>6720</v>
      </c>
      <c r="L26" s="22">
        <f>$L$7*$L$16*'前提'!$E$109</f>
        <v>7680</v>
      </c>
      <c r="M26" s="37" t="inlineStr">
        <is>
          <t>年収×人数×1.2</t>
        </is>
      </c>
    </row>
    <row r="27" ht="17.5" customHeight="1">
      <c r="A27" s="7" t="inlineStr">
        <is>
          <t>人件費：現場監修（施工管理経験者）</t>
        </is>
      </c>
      <c r="B27" s="8" t="inlineStr">
        <is>
          <t>万円/年</t>
        </is>
      </c>
      <c r="C27" s="22">
        <f>$C$8*$C$17*'前提'!$E$109</f>
        <v>780</v>
      </c>
      <c r="D27" s="22">
        <f>$D$8*$D$17*'前提'!$E$109</f>
        <v>780</v>
      </c>
      <c r="E27" s="22">
        <f>$E$8*$E$17*'前提'!$E$109</f>
        <v>780</v>
      </c>
      <c r="F27" s="22">
        <f>$F$8*$F$17*'前提'!$E$109</f>
        <v>780</v>
      </c>
      <c r="G27" s="22">
        <f>$G$8*$G$17*'前提'!$E$109</f>
        <v>1560</v>
      </c>
      <c r="H27" s="22">
        <f>$H$8*$H$17*'前提'!$E$109</f>
        <v>1560</v>
      </c>
      <c r="I27" s="22">
        <f>$I$8*$I$17*'前提'!$E$109</f>
        <v>2340</v>
      </c>
      <c r="J27" s="22">
        <f>$J$8*$J$17*'前提'!$E$109</f>
        <v>2340</v>
      </c>
      <c r="K27" s="22">
        <f>$K$8*$K$17*'前提'!$E$109</f>
        <v>2340</v>
      </c>
      <c r="L27" s="22">
        <f>$L$8*$L$17*'前提'!$E$109</f>
        <v>3120</v>
      </c>
      <c r="M27" s="37" t="inlineStr">
        <is>
          <t>年収×人数×1.2</t>
        </is>
      </c>
    </row>
    <row r="28" ht="17.5" customHeight="1">
      <c r="A28" s="7" t="inlineStr">
        <is>
          <t>人件費：導入コンサルタント</t>
        </is>
      </c>
      <c r="B28" s="8" t="inlineStr">
        <is>
          <t>万円/年</t>
        </is>
      </c>
      <c r="C28" s="22">
        <f>$C$9*$C$18*'前提'!$E$109</f>
        <v>720</v>
      </c>
      <c r="D28" s="22">
        <f>$D$9*$D$18*'前提'!$E$109</f>
        <v>1440</v>
      </c>
      <c r="E28" s="22">
        <f>$E$9*$E$18*'前提'!$E$109</f>
        <v>2880</v>
      </c>
      <c r="F28" s="22">
        <f>$F$9*$F$18*'前提'!$E$109</f>
        <v>4320</v>
      </c>
      <c r="G28" s="22">
        <f>$G$9*$G$18*'前提'!$E$109</f>
        <v>5760</v>
      </c>
      <c r="H28" s="22">
        <f>$H$9*$H$18*'前提'!$E$109</f>
        <v>5760</v>
      </c>
      <c r="I28" s="22">
        <f>$I$9*$I$18*'前提'!$E$109</f>
        <v>6480</v>
      </c>
      <c r="J28" s="22">
        <f>$J$9*$J$18*'前提'!$E$109</f>
        <v>6480</v>
      </c>
      <c r="K28" s="22">
        <f>$K$9*$K$18*'前提'!$E$109</f>
        <v>6480</v>
      </c>
      <c r="L28" s="22">
        <f>$L$9*$L$18*'前提'!$E$109</f>
        <v>6480</v>
      </c>
      <c r="M28" s="37" t="inlineStr">
        <is>
          <t>年収×人数×1.2</t>
        </is>
      </c>
    </row>
    <row r="29" ht="17.5" customHeight="1">
      <c r="A29" s="7" t="inlineStr">
        <is>
          <t>人件費：営業（技術営業）</t>
        </is>
      </c>
      <c r="B29" s="8" t="inlineStr">
        <is>
          <t>万円/年</t>
        </is>
      </c>
      <c r="C29" s="22">
        <f>$C$10*$C$19*'前提'!$E$109</f>
        <v>0</v>
      </c>
      <c r="D29" s="22">
        <f>$D$10*$D$19*'前提'!$E$109</f>
        <v>780</v>
      </c>
      <c r="E29" s="22">
        <f>$E$10*$E$19*'前提'!$E$109</f>
        <v>780</v>
      </c>
      <c r="F29" s="22">
        <f>$F$10*$F$19*'前提'!$E$109</f>
        <v>2340</v>
      </c>
      <c r="G29" s="22">
        <f>$G$10*$G$19*'前提'!$E$109</f>
        <v>2340</v>
      </c>
      <c r="H29" s="22">
        <f>$H$10*$H$19*'前提'!$E$109</f>
        <v>2340</v>
      </c>
      <c r="I29" s="22">
        <f>$I$10*$I$19*'前提'!$E$109</f>
        <v>3120</v>
      </c>
      <c r="J29" s="22">
        <f>$J$10*$J$19*'前提'!$E$109</f>
        <v>3120</v>
      </c>
      <c r="K29" s="22">
        <f>$K$10*$K$19*'前提'!$E$109</f>
        <v>3120</v>
      </c>
      <c r="L29" s="22">
        <f>$L$10*$L$19*'前提'!$E$109</f>
        <v>3120</v>
      </c>
      <c r="M29" s="37" t="inlineStr">
        <is>
          <t>年収×人数×1.2</t>
        </is>
      </c>
    </row>
    <row r="30" ht="17.5" customHeight="1">
      <c r="A30" s="7" t="inlineStr">
        <is>
          <t>人件費：管理（人事・経理・総務）</t>
        </is>
      </c>
      <c r="B30" s="8" t="inlineStr">
        <is>
          <t>万円/年</t>
        </is>
      </c>
      <c r="C30" s="22">
        <f>$C$11*$C$20*'前提'!$E$109</f>
        <v>0</v>
      </c>
      <c r="D30" s="22">
        <f>$D$11*$D$20*'前提'!$E$109</f>
        <v>0</v>
      </c>
      <c r="E30" s="22">
        <f>$E$11*$E$20*'前提'!$E$109</f>
        <v>660</v>
      </c>
      <c r="F30" s="22">
        <f>$F$11*$F$20*'前提'!$E$109</f>
        <v>660</v>
      </c>
      <c r="G30" s="22">
        <f>$G$11*$G$20*'前提'!$E$109</f>
        <v>1320</v>
      </c>
      <c r="H30" s="22">
        <f>$H$11*$H$20*'前提'!$E$109</f>
        <v>1320</v>
      </c>
      <c r="I30" s="22">
        <f>$I$11*$I$20*'前提'!$E$109</f>
        <v>1320</v>
      </c>
      <c r="J30" s="22">
        <f>$J$11*$J$20*'前提'!$E$109</f>
        <v>1980</v>
      </c>
      <c r="K30" s="22">
        <f>$K$11*$K$20*'前提'!$E$109</f>
        <v>1980</v>
      </c>
      <c r="L30" s="22">
        <f>$L$11*$L$20*'前提'!$E$109</f>
        <v>1980</v>
      </c>
      <c r="M30" s="37" t="inlineStr">
        <is>
          <t>年収×人数×1.2</t>
        </is>
      </c>
    </row>
    <row r="31" ht="17.5" customHeight="1">
      <c r="A31" s="7" t="inlineStr">
        <is>
          <t>人件費：戦略企画</t>
        </is>
      </c>
      <c r="B31" s="8" t="inlineStr">
        <is>
          <t>万円/年</t>
        </is>
      </c>
      <c r="C31" s="22">
        <f>$C$12*$C$21*'前提'!$E$109</f>
        <v>0</v>
      </c>
      <c r="D31" s="22">
        <f>$D$12*$D$21*'前提'!$E$109</f>
        <v>0</v>
      </c>
      <c r="E31" s="22">
        <f>$E$12*$E$21*'前提'!$E$109</f>
        <v>0</v>
      </c>
      <c r="F31" s="22">
        <f>$F$12*$F$21*'前提'!$E$109</f>
        <v>840</v>
      </c>
      <c r="G31" s="22">
        <f>$G$12*$G$21*'前提'!$E$109</f>
        <v>840</v>
      </c>
      <c r="H31" s="22">
        <f>$H$12*$H$21*'前提'!$E$109</f>
        <v>840</v>
      </c>
      <c r="I31" s="22">
        <f>$I$12*$I$21*'前提'!$E$109</f>
        <v>840</v>
      </c>
      <c r="J31" s="22">
        <f>$J$12*$J$21*'前提'!$E$109</f>
        <v>840</v>
      </c>
      <c r="K31" s="22">
        <f>$K$12*$K$21*'前提'!$E$109</f>
        <v>1680</v>
      </c>
      <c r="L31" s="22">
        <f>$L$12*$L$21*'前提'!$E$109</f>
        <v>1680</v>
      </c>
      <c r="M31" s="37" t="inlineStr">
        <is>
          <t>年収×人数×1.2</t>
        </is>
      </c>
    </row>
    <row r="32" ht="17.5" customHeight="1">
      <c r="A32" s="6" t="inlineStr">
        <is>
          <t>人件費の合計（計画）</t>
        </is>
      </c>
      <c r="B32" s="8" t="inlineStr">
        <is>
          <t>万円/年</t>
        </is>
      </c>
      <c r="C32" s="52">
        <f>SUM(C24:C31)</f>
        <v>4236</v>
      </c>
      <c r="D32" s="52">
        <f>SUM(D24:D31)</f>
        <v>6840</v>
      </c>
      <c r="E32" s="52">
        <f>SUM(E24:E31)</f>
        <v>10044</v>
      </c>
      <c r="F32" s="52">
        <f>SUM(F24:F31)</f>
        <v>14844</v>
      </c>
      <c r="G32" s="52">
        <f>SUM(G24:G31)</f>
        <v>18684</v>
      </c>
      <c r="H32" s="52">
        <f>SUM(H24:H31)</f>
        <v>19644</v>
      </c>
      <c r="I32" s="52">
        <f>SUM(I24:I31)</f>
        <v>21924</v>
      </c>
      <c r="J32" s="52">
        <f>SUM(J24:J31)</f>
        <v>23544</v>
      </c>
      <c r="K32" s="52">
        <f>SUM(K24:K31)</f>
        <v>24384</v>
      </c>
      <c r="L32" s="52">
        <f>SUM(L24:L31)</f>
        <v>26124</v>
      </c>
      <c r="M32" s="37" t="inlineStr">
        <is>
          <t>8つの役割の合計</t>
        </is>
      </c>
    </row>
    <row r="33" ht="19" customHeight="1">
      <c r="A33" s="3" t="inlineStr">
        <is>
          <t>採用費（増えた人の年収×採用費率）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17.5" customHeight="1">
      <c r="A34" s="7" t="inlineStr">
        <is>
          <t>増員：代表（創業者）</t>
        </is>
      </c>
      <c r="B34" s="8" t="inlineStr">
        <is>
          <t>人</t>
        </is>
      </c>
      <c r="C34" s="22">
        <f>$C$14</f>
        <v>1</v>
      </c>
      <c r="D34" s="22">
        <f>MAX(0,$D$14-$C$14)</f>
        <v>0</v>
      </c>
      <c r="E34" s="22">
        <f>MAX(0,$E$14-$D$14)</f>
        <v>0</v>
      </c>
      <c r="F34" s="22">
        <f>MAX(0,$F$14-$E$14)</f>
        <v>0</v>
      </c>
      <c r="G34" s="22">
        <f>MAX(0,$G$14-$F$14)</f>
        <v>0</v>
      </c>
      <c r="H34" s="22">
        <f>MAX(0,$H$14-$G$14)</f>
        <v>0</v>
      </c>
      <c r="I34" s="22">
        <f>MAX(0,$I$14-$H$14)</f>
        <v>0</v>
      </c>
      <c r="J34" s="22">
        <f>MAX(0,$J$14-$I$14)</f>
        <v>0</v>
      </c>
      <c r="K34" s="22">
        <f>MAX(0,$K$14-$J$14)</f>
        <v>0</v>
      </c>
      <c r="L34" s="22">
        <f>MAX(0,$L$14-$K$14)</f>
        <v>0</v>
      </c>
      <c r="M34" s="37" t="inlineStr">
        <is>
          <t>その年の人数−前の年の人数（減ったときは0）。1年目は開業時0人から</t>
        </is>
      </c>
    </row>
    <row r="35" ht="17.5" customHeight="1">
      <c r="A35" s="7" t="inlineStr">
        <is>
          <t>増員：CTO</t>
        </is>
      </c>
      <c r="B35" s="8" t="inlineStr">
        <is>
          <t>人</t>
        </is>
      </c>
      <c r="C35" s="22">
        <f>$C$15</f>
        <v>1</v>
      </c>
      <c r="D35" s="22">
        <f>MAX(0,$D$15-$C$15)</f>
        <v>0</v>
      </c>
      <c r="E35" s="22">
        <f>MAX(0,$E$15-$D$15)</f>
        <v>0</v>
      </c>
      <c r="F35" s="22">
        <f>MAX(0,$F$15-$E$15)</f>
        <v>0</v>
      </c>
      <c r="G35" s="22">
        <f>MAX(0,$G$15-$F$15)</f>
        <v>0</v>
      </c>
      <c r="H35" s="22">
        <f>MAX(0,$H$15-$G$15)</f>
        <v>0</v>
      </c>
      <c r="I35" s="22">
        <f>MAX(0,$I$15-$H$15)</f>
        <v>0</v>
      </c>
      <c r="J35" s="22">
        <f>MAX(0,$J$15-$I$15)</f>
        <v>0</v>
      </c>
      <c r="K35" s="22">
        <f>MAX(0,$K$15-$J$15)</f>
        <v>0</v>
      </c>
      <c r="L35" s="22">
        <f>MAX(0,$L$15-$K$15)</f>
        <v>0</v>
      </c>
      <c r="M35" s="37" t="inlineStr">
        <is>
          <t>その年の人数−前の年の人数（減ったときは0）。1年目は開業時0人から</t>
        </is>
      </c>
    </row>
    <row r="36" ht="17.5" customHeight="1">
      <c r="A36" s="7" t="inlineStr">
        <is>
          <t>増員：エンジニア</t>
        </is>
      </c>
      <c r="B36" s="8" t="inlineStr">
        <is>
          <t>人</t>
        </is>
      </c>
      <c r="C36" s="22">
        <f>$C$16</f>
        <v>1</v>
      </c>
      <c r="D36" s="22">
        <f>MAX(0,$D$16-$C$16)</f>
        <v>1</v>
      </c>
      <c r="E36" s="22">
        <f>MAX(0,$E$16-$D$16)</f>
        <v>1</v>
      </c>
      <c r="F36" s="22">
        <f>MAX(0,$F$16-$E$16)</f>
        <v>1</v>
      </c>
      <c r="G36" s="22">
        <f>MAX(0,$G$16-$F$16)</f>
        <v>1</v>
      </c>
      <c r="H36" s="22">
        <f>MAX(0,$H$16-$G$16)</f>
        <v>1</v>
      </c>
      <c r="I36" s="22">
        <f>MAX(0,$I$16-$H$16)</f>
        <v>0</v>
      </c>
      <c r="J36" s="22">
        <f>MAX(0,$J$16-$I$16)</f>
        <v>1</v>
      </c>
      <c r="K36" s="22">
        <f>MAX(0,$K$16-$J$16)</f>
        <v>0</v>
      </c>
      <c r="L36" s="22">
        <f>MAX(0,$L$16-$K$16)</f>
        <v>1</v>
      </c>
      <c r="M36" s="37" t="inlineStr">
        <is>
          <t>その年の人数−前の年の人数（減ったときは0）。1年目は開業時0人から</t>
        </is>
      </c>
    </row>
    <row r="37" ht="17.5" customHeight="1">
      <c r="A37" s="7" t="inlineStr">
        <is>
          <t>増員：現場監修（施工管理経験者）</t>
        </is>
      </c>
      <c r="B37" s="8" t="inlineStr">
        <is>
          <t>人</t>
        </is>
      </c>
      <c r="C37" s="22">
        <f>$C$17</f>
        <v>1</v>
      </c>
      <c r="D37" s="22">
        <f>MAX(0,$D$17-$C$17)</f>
        <v>0</v>
      </c>
      <c r="E37" s="22">
        <f>MAX(0,$E$17-$D$17)</f>
        <v>0</v>
      </c>
      <c r="F37" s="22">
        <f>MAX(0,$F$17-$E$17)</f>
        <v>0</v>
      </c>
      <c r="G37" s="22">
        <f>MAX(0,$G$17-$F$17)</f>
        <v>1</v>
      </c>
      <c r="H37" s="22">
        <f>MAX(0,$H$17-$G$17)</f>
        <v>0</v>
      </c>
      <c r="I37" s="22">
        <f>MAX(0,$I$17-$H$17)</f>
        <v>1</v>
      </c>
      <c r="J37" s="22">
        <f>MAX(0,$J$17-$I$17)</f>
        <v>0</v>
      </c>
      <c r="K37" s="22">
        <f>MAX(0,$K$17-$J$17)</f>
        <v>0</v>
      </c>
      <c r="L37" s="22">
        <f>MAX(0,$L$17-$K$17)</f>
        <v>1</v>
      </c>
      <c r="M37" s="37" t="inlineStr">
        <is>
          <t>その年の人数−前の年の人数（減ったときは0）。1年目は開業時0人から</t>
        </is>
      </c>
    </row>
    <row r="38" ht="17.5" customHeight="1">
      <c r="A38" s="7" t="inlineStr">
        <is>
          <t>増員：導入コンサルタント</t>
        </is>
      </c>
      <c r="B38" s="8" t="inlineStr">
        <is>
          <t>人</t>
        </is>
      </c>
      <c r="C38" s="22">
        <f>$C$18</f>
        <v>1</v>
      </c>
      <c r="D38" s="22">
        <f>MAX(0,$D$18-$C$18)</f>
        <v>1</v>
      </c>
      <c r="E38" s="22">
        <f>MAX(0,$E$18-$D$18)</f>
        <v>2</v>
      </c>
      <c r="F38" s="22">
        <f>MAX(0,$F$18-$E$18)</f>
        <v>2</v>
      </c>
      <c r="G38" s="22">
        <f>MAX(0,$G$18-$F$18)</f>
        <v>2</v>
      </c>
      <c r="H38" s="22">
        <f>MAX(0,$H$18-$G$18)</f>
        <v>0</v>
      </c>
      <c r="I38" s="22">
        <f>MAX(0,$I$18-$H$18)</f>
        <v>1</v>
      </c>
      <c r="J38" s="22">
        <f>MAX(0,$J$18-$I$18)</f>
        <v>0</v>
      </c>
      <c r="K38" s="22">
        <f>MAX(0,$K$18-$J$18)</f>
        <v>0</v>
      </c>
      <c r="L38" s="22">
        <f>MAX(0,$L$18-$K$18)</f>
        <v>0</v>
      </c>
      <c r="M38" s="37" t="inlineStr">
        <is>
          <t>その年の人数−前の年の人数（減ったときは0）。1年目は開業時0人から</t>
        </is>
      </c>
    </row>
    <row r="39" ht="17.5" customHeight="1">
      <c r="A39" s="7" t="inlineStr">
        <is>
          <t>増員：営業（技術営業）</t>
        </is>
      </c>
      <c r="B39" s="8" t="inlineStr">
        <is>
          <t>人</t>
        </is>
      </c>
      <c r="C39" s="22">
        <f>$C$19</f>
        <v>0</v>
      </c>
      <c r="D39" s="22">
        <f>MAX(0,$D$19-$C$19)</f>
        <v>1</v>
      </c>
      <c r="E39" s="22">
        <f>MAX(0,$E$19-$D$19)</f>
        <v>0</v>
      </c>
      <c r="F39" s="22">
        <f>MAX(0,$F$19-$E$19)</f>
        <v>2</v>
      </c>
      <c r="G39" s="22">
        <f>MAX(0,$G$19-$F$19)</f>
        <v>0</v>
      </c>
      <c r="H39" s="22">
        <f>MAX(0,$H$19-$G$19)</f>
        <v>0</v>
      </c>
      <c r="I39" s="22">
        <f>MAX(0,$I$19-$H$19)</f>
        <v>1</v>
      </c>
      <c r="J39" s="22">
        <f>MAX(0,$J$19-$I$19)</f>
        <v>0</v>
      </c>
      <c r="K39" s="22">
        <f>MAX(0,$K$19-$J$19)</f>
        <v>0</v>
      </c>
      <c r="L39" s="22">
        <f>MAX(0,$L$19-$K$19)</f>
        <v>0</v>
      </c>
      <c r="M39" s="37" t="inlineStr">
        <is>
          <t>その年の人数−前の年の人数（減ったときは0）。1年目は開業時0人から</t>
        </is>
      </c>
    </row>
    <row r="40" ht="17.5" customHeight="1">
      <c r="A40" s="7" t="inlineStr">
        <is>
          <t>増員：管理（人事・経理・総務）</t>
        </is>
      </c>
      <c r="B40" s="8" t="inlineStr">
        <is>
          <t>人</t>
        </is>
      </c>
      <c r="C40" s="22">
        <f>$C$20</f>
        <v>0</v>
      </c>
      <c r="D40" s="22">
        <f>MAX(0,$D$20-$C$20)</f>
        <v>0</v>
      </c>
      <c r="E40" s="22">
        <f>MAX(0,$E$20-$D$20)</f>
        <v>1</v>
      </c>
      <c r="F40" s="22">
        <f>MAX(0,$F$20-$E$20)</f>
        <v>0</v>
      </c>
      <c r="G40" s="22">
        <f>MAX(0,$G$20-$F$20)</f>
        <v>1</v>
      </c>
      <c r="H40" s="22">
        <f>MAX(0,$H$20-$G$20)</f>
        <v>0</v>
      </c>
      <c r="I40" s="22">
        <f>MAX(0,$I$20-$H$20)</f>
        <v>0</v>
      </c>
      <c r="J40" s="22">
        <f>MAX(0,$J$20-$I$20)</f>
        <v>1</v>
      </c>
      <c r="K40" s="22">
        <f>MAX(0,$K$20-$J$20)</f>
        <v>0</v>
      </c>
      <c r="L40" s="22">
        <f>MAX(0,$L$20-$K$20)</f>
        <v>0</v>
      </c>
      <c r="M40" s="37" t="inlineStr">
        <is>
          <t>その年の人数−前の年の人数（減ったときは0）。1年目は開業時0人から</t>
        </is>
      </c>
    </row>
    <row r="41" ht="17.5" customHeight="1">
      <c r="A41" s="7" t="inlineStr">
        <is>
          <t>増員：戦略企画</t>
        </is>
      </c>
      <c r="B41" s="8" t="inlineStr">
        <is>
          <t>人</t>
        </is>
      </c>
      <c r="C41" s="22">
        <f>$C$21</f>
        <v>0</v>
      </c>
      <c r="D41" s="22">
        <f>MAX(0,$D$21-$C$21)</f>
        <v>0</v>
      </c>
      <c r="E41" s="22">
        <f>MAX(0,$E$21-$D$21)</f>
        <v>0</v>
      </c>
      <c r="F41" s="22">
        <f>MAX(0,$F$21-$E$21)</f>
        <v>1</v>
      </c>
      <c r="G41" s="22">
        <f>MAX(0,$G$21-$F$21)</f>
        <v>0</v>
      </c>
      <c r="H41" s="22">
        <f>MAX(0,$H$21-$G$21)</f>
        <v>0</v>
      </c>
      <c r="I41" s="22">
        <f>MAX(0,$I$21-$H$21)</f>
        <v>0</v>
      </c>
      <c r="J41" s="22">
        <f>MAX(0,$J$21-$I$21)</f>
        <v>0</v>
      </c>
      <c r="K41" s="22">
        <f>MAX(0,$K$21-$J$21)</f>
        <v>1</v>
      </c>
      <c r="L41" s="22">
        <f>MAX(0,$L$21-$K$21)</f>
        <v>0</v>
      </c>
      <c r="M41" s="37" t="inlineStr">
        <is>
          <t>その年の人数−前の年の人数（減ったときは0）。1年目は開業時0人から</t>
        </is>
      </c>
    </row>
    <row r="42" ht="17.5" customHeight="1">
      <c r="A42" s="7" t="inlineStr">
        <is>
          <t>増員×年収の合計</t>
        </is>
      </c>
      <c r="B42" s="8" t="inlineStr">
        <is>
          <t>万円/年</t>
        </is>
      </c>
      <c r="C42" s="22">
        <f>SUMPRODUCT(C34:C41,C5:C12)</f>
        <v>3530</v>
      </c>
      <c r="D42" s="22">
        <f>SUMPRODUCT(D34:D41,D5:D12)</f>
        <v>2050</v>
      </c>
      <c r="E42" s="22">
        <f>SUMPRODUCT(E34:E41,E5:E12)</f>
        <v>2550</v>
      </c>
      <c r="F42" s="22">
        <f>SUMPRODUCT(F34:F41,F5:F12)</f>
        <v>4000</v>
      </c>
      <c r="G42" s="22">
        <f>SUMPRODUCT(G34:G41,G5:G12)</f>
        <v>3200</v>
      </c>
      <c r="H42" s="22">
        <f>SUMPRODUCT(H34:H41,H5:H12)</f>
        <v>800</v>
      </c>
      <c r="I42" s="22">
        <f>SUMPRODUCT(I34:I41,I5:I12)</f>
        <v>1900</v>
      </c>
      <c r="J42" s="22">
        <f>SUMPRODUCT(J34:J41,J5:J12)</f>
        <v>1350</v>
      </c>
      <c r="K42" s="22">
        <f>SUMPRODUCT(K34:K41,K5:K12)</f>
        <v>700</v>
      </c>
      <c r="L42" s="22">
        <f>SUMPRODUCT(L34:L41,L5:L12)</f>
        <v>1450</v>
      </c>
      <c r="M42" s="37" t="inlineStr">
        <is>
          <t>役割ごとの増員×その年の年収を足す</t>
        </is>
      </c>
    </row>
    <row r="43" ht="17.5" customHeight="1">
      <c r="A43" s="7" t="inlineStr">
        <is>
          <t>採用費（計画）</t>
        </is>
      </c>
      <c r="B43" s="8" t="inlineStr">
        <is>
          <t>万円/年</t>
        </is>
      </c>
      <c r="C43" s="53">
        <f>$C$42*'前提'!$E$112</f>
        <v>529.5</v>
      </c>
      <c r="D43" s="53">
        <f>$D$42*'前提'!$E$112</f>
        <v>307.5</v>
      </c>
      <c r="E43" s="53">
        <f>$E$42*'前提'!$E$112</f>
        <v>382.5</v>
      </c>
      <c r="F43" s="53">
        <f>$F$42*'前提'!$E$112</f>
        <v>600</v>
      </c>
      <c r="G43" s="53">
        <f>$G$42*'前提'!$E$112</f>
        <v>480</v>
      </c>
      <c r="H43" s="53">
        <f>$H$42*'前提'!$E$112</f>
        <v>120</v>
      </c>
      <c r="I43" s="53">
        <f>$I$42*'前提'!$E$112</f>
        <v>285</v>
      </c>
      <c r="J43" s="53">
        <f>$J$42*'前提'!$E$112</f>
        <v>202.5</v>
      </c>
      <c r="K43" s="53">
        <f>$K$42*'前提'!$E$112</f>
        <v>105</v>
      </c>
      <c r="L43" s="53">
        <f>$L$42*'前提'!$E$112</f>
        <v>217.5</v>
      </c>
      <c r="M43" s="37" t="inlineStr">
        <is>
          <t>増員×年収の合計×15%</t>
        </is>
      </c>
    </row>
    <row r="44" ht="19" customHeight="1">
      <c r="A44" s="3" t="inlineStr">
        <is>
          <t>つまみの反映（初期値なら計画のまま）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17.5" customHeight="1">
      <c r="A45" s="7" t="inlineStr">
        <is>
          <t>年収の上乗せ分</t>
        </is>
      </c>
      <c r="B45" s="8" t="inlineStr">
        <is>
          <t>万円/年</t>
        </is>
      </c>
      <c r="C45" s="22">
        <f>'前提'!$E$142*'前提'!$E$109*$C$22</f>
        <v>0</v>
      </c>
      <c r="D45" s="22">
        <f>'前提'!$E$142*'前提'!$E$109*$D$22</f>
        <v>0</v>
      </c>
      <c r="E45" s="22">
        <f>'前提'!$E$142*'前提'!$E$109*$E$22</f>
        <v>0</v>
      </c>
      <c r="F45" s="22">
        <f>'前提'!$E$142*'前提'!$E$109*$F$22</f>
        <v>0</v>
      </c>
      <c r="G45" s="22">
        <f>'前提'!$E$142*'前提'!$E$109*$G$22</f>
        <v>0</v>
      </c>
      <c r="H45" s="22">
        <f>'前提'!$E$142*'前提'!$E$109*$H$22</f>
        <v>0</v>
      </c>
      <c r="I45" s="22">
        <f>'前提'!$E$142*'前提'!$E$109*$I$22</f>
        <v>0</v>
      </c>
      <c r="J45" s="22">
        <f>'前提'!$E$142*'前提'!$E$109*$J$22</f>
        <v>0</v>
      </c>
      <c r="K45" s="22">
        <f>'前提'!$E$142*'前提'!$E$109*$K$22</f>
        <v>0</v>
      </c>
      <c r="L45" s="22">
        <f>'前提'!$E$142*'前提'!$E$109*$L$22</f>
        <v>0</v>
      </c>
      <c r="M45" s="37" t="inlineStr">
        <is>
          <t>上乗せ×1.2×計画の社員数（前提8-4）</t>
        </is>
      </c>
    </row>
    <row r="46" ht="17.5" customHeight="1">
      <c r="A46" s="6" t="inlineStr">
        <is>
          <t>社員数（採用連動の後）</t>
        </is>
      </c>
      <c r="B46" s="8" t="inlineStr">
        <is>
          <t>人</t>
        </is>
      </c>
      <c r="C46" s="52">
        <f>IF(ISBLANK('前提'!$E$143),$C$22,'前提'!$E$144+ROUND(($C$22-'前提'!$E$144)*'前提'!$E$143,0))</f>
        <v>5</v>
      </c>
      <c r="D46" s="52">
        <f>IF(ISBLANK('前提'!$E$143),$D$22,'前提'!$E$144+ROUND(($D$22-'前提'!$E$144)*'前提'!$E$143,0))</f>
        <v>8</v>
      </c>
      <c r="E46" s="52">
        <f>IF(ISBLANK('前提'!$E$143),$E$22,'前提'!$E$144+ROUND(($E$22-'前提'!$E$144)*'前提'!$E$143,0))</f>
        <v>12</v>
      </c>
      <c r="F46" s="52">
        <f>IF(ISBLANK('前提'!$E$143),$F$22,'前提'!$E$144+ROUND(($F$22-'前提'!$E$144)*'前提'!$E$143,0))</f>
        <v>18</v>
      </c>
      <c r="G46" s="52">
        <f>IF(ISBLANK('前提'!$E$143),$G$22,'前提'!$E$144+ROUND(($G$22-'前提'!$E$144)*'前提'!$E$143,0))</f>
        <v>23</v>
      </c>
      <c r="H46" s="52">
        <f>IF(ISBLANK('前提'!$E$143),$H$22,'前提'!$E$144+ROUND(($H$22-'前提'!$E$144)*'前提'!$E$143,0))</f>
        <v>24</v>
      </c>
      <c r="I46" s="52">
        <f>IF(ISBLANK('前提'!$E$143),$I$22,'前提'!$E$144+ROUND(($I$22-'前提'!$E$144)*'前提'!$E$143,0))</f>
        <v>27</v>
      </c>
      <c r="J46" s="52">
        <f>IF(ISBLANK('前提'!$E$143),$J$22,'前提'!$E$144+ROUND(($J$22-'前提'!$E$144)*'前提'!$E$143,0))</f>
        <v>29</v>
      </c>
      <c r="K46" s="52">
        <f>IF(ISBLANK('前提'!$E$143),$K$22,'前提'!$E$144+ROUND(($K$22-'前提'!$E$144)*'前提'!$E$143,0))</f>
        <v>30</v>
      </c>
      <c r="L46" s="52">
        <f>IF(ISBLANK('前提'!$E$143),$L$22,'前提'!$E$144+ROUND(($L$22-'前提'!$E$144)*'前提'!$E$143,0))</f>
        <v>32</v>
      </c>
      <c r="M46" s="37" t="inlineStr">
        <is>
          <t>kが空なら計画のまま。kがあれば 4＋(計画−4)×k を四捨五入</t>
        </is>
      </c>
    </row>
    <row r="47" ht="17.5" customHeight="1">
      <c r="A47" s="7" t="inlineStr">
        <is>
          <t>人数の倍率</t>
        </is>
      </c>
      <c r="B47" s="8" t="inlineStr">
        <is>
          <t>倍</t>
        </is>
      </c>
      <c r="C47" s="54">
        <f>$C$46/$C$22</f>
        <v>1</v>
      </c>
      <c r="D47" s="54">
        <f>$D$46/$D$22</f>
        <v>1</v>
      </c>
      <c r="E47" s="54">
        <f>$E$46/$E$22</f>
        <v>1</v>
      </c>
      <c r="F47" s="54">
        <f>$F$46/$F$22</f>
        <v>1</v>
      </c>
      <c r="G47" s="54">
        <f>$G$46/$G$22</f>
        <v>1</v>
      </c>
      <c r="H47" s="54">
        <f>$H$46/$H$22</f>
        <v>1</v>
      </c>
      <c r="I47" s="54">
        <f>$I$46/$I$22</f>
        <v>1</v>
      </c>
      <c r="J47" s="54">
        <f>$J$46/$J$22</f>
        <v>1</v>
      </c>
      <c r="K47" s="54">
        <f>$K$46/$K$22</f>
        <v>1</v>
      </c>
      <c r="L47" s="54">
        <f>$L$46/$L$22</f>
        <v>1</v>
      </c>
      <c r="M47" s="37" t="inlineStr">
        <is>
          <t>社員数÷計画の社員数</t>
        </is>
      </c>
    </row>
    <row r="48" ht="17.5" customHeight="1">
      <c r="A48" s="6" t="inlineStr">
        <is>
          <t>人件費（損益で使う）</t>
        </is>
      </c>
      <c r="B48" s="8" t="inlineStr">
        <is>
          <t>万円/年</t>
        </is>
      </c>
      <c r="C48" s="52">
        <f>($C$32+$C$45)*$C$47</f>
        <v>4236</v>
      </c>
      <c r="D48" s="52">
        <f>($D$32+$D$45)*$D$47</f>
        <v>6840</v>
      </c>
      <c r="E48" s="52">
        <f>($E$32+$E$45)*$E$47</f>
        <v>10044</v>
      </c>
      <c r="F48" s="52">
        <f>($F$32+$F$45)*$F$47</f>
        <v>14844</v>
      </c>
      <c r="G48" s="52">
        <f>($G$32+$G$45)*$G$47</f>
        <v>18684</v>
      </c>
      <c r="H48" s="52">
        <f>($H$32+$H$45)*$H$47</f>
        <v>19644</v>
      </c>
      <c r="I48" s="52">
        <f>($I$32+$I$45)*$I$47</f>
        <v>21924</v>
      </c>
      <c r="J48" s="52">
        <f>($J$32+$J$45)*$J$47</f>
        <v>23544</v>
      </c>
      <c r="K48" s="52">
        <f>($K$32+$K$45)*$K$47</f>
        <v>24384</v>
      </c>
      <c r="L48" s="52">
        <f>($L$32+$L$45)*$L$47</f>
        <v>26124</v>
      </c>
      <c r="M48" s="37" t="inlineStr">
        <is>
          <t>(人件費の合計＋上乗せ分)×人数の倍率</t>
        </is>
      </c>
    </row>
    <row r="49" ht="17.5" customHeight="1">
      <c r="A49" s="6" t="inlineStr">
        <is>
          <t>採用費（損益で使う）</t>
        </is>
      </c>
      <c r="B49" s="8" t="inlineStr">
        <is>
          <t>万円/年</t>
        </is>
      </c>
      <c r="C49" s="55">
        <f>$C$43*$C$47</f>
        <v>529.5</v>
      </c>
      <c r="D49" s="55">
        <f>$D$43*$D$47</f>
        <v>307.5</v>
      </c>
      <c r="E49" s="55">
        <f>$E$43*$E$47</f>
        <v>382.5</v>
      </c>
      <c r="F49" s="55">
        <f>$F$43*$F$47</f>
        <v>600</v>
      </c>
      <c r="G49" s="55">
        <f>$G$43*$G$47</f>
        <v>480</v>
      </c>
      <c r="H49" s="55">
        <f>$H$43*$H$47</f>
        <v>120</v>
      </c>
      <c r="I49" s="55">
        <f>$I$43*$I$47</f>
        <v>285</v>
      </c>
      <c r="J49" s="55">
        <f>$J$43*$J$47</f>
        <v>202.5</v>
      </c>
      <c r="K49" s="55">
        <f>$K$43*$K$47</f>
        <v>105</v>
      </c>
      <c r="L49" s="55">
        <f>$L$43*$L$47</f>
        <v>217.5</v>
      </c>
      <c r="M49" s="37" t="inlineStr">
        <is>
          <t>採用費×人数の倍率</t>
        </is>
      </c>
    </row>
    <row r="50" ht="19" customHeight="1">
      <c r="A50" s="3" t="inlineStr">
        <is>
          <t>導入コンサルタントの確認（新規拠点は 人数×6 が上限）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17.5" customHeight="1">
      <c r="A51" s="7" t="inlineStr">
        <is>
          <t>1年に回せる新規拠点の上限</t>
        </is>
      </c>
      <c r="B51" s="8" t="inlineStr">
        <is>
          <t>拠点</t>
        </is>
      </c>
      <c r="C51" s="22">
        <f>$C$18*'前提'!$E$90</f>
        <v>6</v>
      </c>
      <c r="D51" s="22">
        <f>$D$18*'前提'!$E$90</f>
        <v>12</v>
      </c>
      <c r="E51" s="22">
        <f>$E$18*'前提'!$E$90</f>
        <v>24</v>
      </c>
      <c r="F51" s="22">
        <f>$F$18*'前提'!$E$90</f>
        <v>36</v>
      </c>
      <c r="G51" s="22">
        <f>$G$18*'前提'!$E$90</f>
        <v>48</v>
      </c>
      <c r="H51" s="22">
        <f>$H$18*'前提'!$E$90</f>
        <v>48</v>
      </c>
      <c r="I51" s="22">
        <f>$I$18*'前提'!$E$90</f>
        <v>54</v>
      </c>
      <c r="J51" s="22">
        <f>$J$18*'前提'!$E$90</f>
        <v>54</v>
      </c>
      <c r="K51" s="22">
        <f>$K$18*'前提'!$E$90</f>
        <v>54</v>
      </c>
      <c r="L51" s="22">
        <f>$L$18*'前提'!$E$90</f>
        <v>54</v>
      </c>
      <c r="M51" s="37" t="inlineStr">
        <is>
          <t>導入コンサルタントの人数×6</t>
        </is>
      </c>
    </row>
    <row r="52" ht="17.5" customHeight="1">
      <c r="A52" s="7" t="inlineStr">
        <is>
          <t>新規拠点</t>
        </is>
      </c>
      <c r="B52" s="8" t="inlineStr">
        <is>
          <t>拠点</t>
        </is>
      </c>
      <c r="C52" s="22">
        <f>'前提'!$E$118</f>
        <v>3</v>
      </c>
      <c r="D52" s="22">
        <f>'前提'!$F$118</f>
        <v>9</v>
      </c>
      <c r="E52" s="22">
        <f>'前提'!$G$118</f>
        <v>18</v>
      </c>
      <c r="F52" s="22">
        <f>'前提'!$H$118</f>
        <v>27</v>
      </c>
      <c r="G52" s="22">
        <f>'前提'!$I$118</f>
        <v>33</v>
      </c>
      <c r="H52" s="22">
        <f>'前提'!$J$118</f>
        <v>36</v>
      </c>
      <c r="I52" s="22">
        <f>'前提'!$K$118</f>
        <v>38</v>
      </c>
      <c r="J52" s="22">
        <f>'前提'!$L$118</f>
        <v>40</v>
      </c>
      <c r="K52" s="22">
        <f>'前提'!$M$118</f>
        <v>40</v>
      </c>
      <c r="L52" s="22">
        <f>'前提'!$N$118</f>
        <v>40</v>
      </c>
      <c r="M52" s="37" t="inlineStr">
        <is>
          <t>前提7-1</t>
        </is>
      </c>
    </row>
    <row r="53" ht="17.5" customHeight="1">
      <c r="A53" s="7" t="inlineStr">
        <is>
          <t>判定</t>
        </is>
      </c>
      <c r="B53" s="8" t="inlineStr">
        <is>
          <t>─</t>
        </is>
      </c>
      <c r="C53" s="56" t="str">
        <f>IF($C$52&lt;=$C$51,"上限内","超える")</f>
        <v>上限内</v>
      </c>
      <c r="D53" s="56" t="str">
        <f>IF($D$52&lt;=$D$51,"上限内","超える")</f>
        <v>上限内</v>
      </c>
      <c r="E53" s="56" t="str">
        <f>IF($E$52&lt;=$E$51,"上限内","超える")</f>
        <v>上限内</v>
      </c>
      <c r="F53" s="56" t="str">
        <f>IF($F$52&lt;=$F$51,"上限内","超える")</f>
        <v>上限内</v>
      </c>
      <c r="G53" s="56" t="str">
        <f>IF($G$52&lt;=$G$51,"上限内","超える")</f>
        <v>上限内</v>
      </c>
      <c r="H53" s="56" t="str">
        <f>IF($H$52&lt;=$H$51,"上限内","超える")</f>
        <v>上限内</v>
      </c>
      <c r="I53" s="56" t="str">
        <f>IF($I$52&lt;=$I$51,"上限内","超える")</f>
        <v>上限内</v>
      </c>
      <c r="J53" s="56" t="str">
        <f>IF($J$52&lt;=$J$51,"上限内","超える")</f>
        <v>上限内</v>
      </c>
      <c r="K53" s="56" t="str">
        <f>IF($K$52&lt;=$K$51,"上限内","超える")</f>
        <v>上限内</v>
      </c>
      <c r="L53" s="56" t="str">
        <f>IF($L$52&lt;=$L$51,"上限内","超える")</f>
        <v>上限内</v>
      </c>
      <c r="M53" s="37" t="inlineStr">
        <is>
          <t>新規拠点≦上限なら「上限内」</t>
        </is>
      </c>
    </row>
    <row r="54" ht="17.5" customHeight="1">
      <c r="A54" s="7" t="inlineStr">
        <is>
          <t>稼働できる人日</t>
        </is>
      </c>
      <c r="B54" s="8" t="inlineStr">
        <is>
          <t>人日</t>
        </is>
      </c>
      <c r="C54" s="22">
        <f>$C$18*'前提'!$E$89</f>
        <v>240</v>
      </c>
      <c r="D54" s="22">
        <f>$D$18*'前提'!$E$89</f>
        <v>480</v>
      </c>
      <c r="E54" s="22">
        <f>$E$18*'前提'!$E$89</f>
        <v>960</v>
      </c>
      <c r="F54" s="22">
        <f>$F$18*'前提'!$E$89</f>
        <v>1440</v>
      </c>
      <c r="G54" s="22">
        <f>$G$18*'前提'!$E$89</f>
        <v>1920</v>
      </c>
      <c r="H54" s="22">
        <f>$H$18*'前提'!$E$89</f>
        <v>1920</v>
      </c>
      <c r="I54" s="22">
        <f>$I$18*'前提'!$E$89</f>
        <v>2160</v>
      </c>
      <c r="J54" s="22">
        <f>$J$18*'前提'!$E$89</f>
        <v>2160</v>
      </c>
      <c r="K54" s="22">
        <f>$K$18*'前提'!$E$89</f>
        <v>2160</v>
      </c>
      <c r="L54" s="22">
        <f>$L$18*'前提'!$E$89</f>
        <v>2160</v>
      </c>
      <c r="M54" s="37" t="inlineStr">
        <is>
          <t>人数×240日</t>
        </is>
      </c>
    </row>
    <row r="55" ht="17.5" customHeight="1">
      <c r="A55" s="7" t="inlineStr">
        <is>
          <t>導入支援に使う人日</t>
        </is>
      </c>
      <c r="B55" s="8" t="inlineStr">
        <is>
          <t>人日</t>
        </is>
      </c>
      <c r="C55" s="22">
        <f>$C$52*'導入支援'!$C$11</f>
        <v>126</v>
      </c>
      <c r="D55" s="22">
        <f>$D$52*'導入支援'!$C$11</f>
        <v>378</v>
      </c>
      <c r="E55" s="22">
        <f>$E$52*'導入支援'!$C$11</f>
        <v>756</v>
      </c>
      <c r="F55" s="22">
        <f>$F$52*'導入支援'!$C$11</f>
        <v>1134</v>
      </c>
      <c r="G55" s="22">
        <f>$G$52*'導入支援'!$C$11</f>
        <v>1386</v>
      </c>
      <c r="H55" s="22">
        <f>$H$52*'導入支援'!$C$11</f>
        <v>1512</v>
      </c>
      <c r="I55" s="22">
        <f>$I$52*'導入支援'!$C$11</f>
        <v>1596</v>
      </c>
      <c r="J55" s="22">
        <f>$J$52*'導入支援'!$C$11</f>
        <v>1680</v>
      </c>
      <c r="K55" s="22">
        <f>$K$52*'導入支援'!$C$11</f>
        <v>1680</v>
      </c>
      <c r="L55" s="22">
        <f>$L$52*'導入支援'!$C$11</f>
        <v>1680</v>
      </c>
      <c r="M55" s="37" t="inlineStr">
        <is>
          <t>新規拠点×42人日</t>
        </is>
      </c>
    </row>
    <row r="56" ht="17.5" customHeight="1">
      <c r="A56" s="7" t="inlineStr">
        <is>
          <t>個社設定に使う人日</t>
        </is>
      </c>
      <c r="B56" s="8" t="inlineStr">
        <is>
          <t>人日</t>
        </is>
      </c>
      <c r="C56" s="53">
        <f>'損益と現金'!$C$12/'導入支援'!$C$16</f>
        <v>133.333333333333</v>
      </c>
      <c r="D56" s="53">
        <f>'損益と現金'!$D$12/'導入支援'!$C$16</f>
        <v>166.666666666667</v>
      </c>
      <c r="E56" s="53">
        <f>'損益と現金'!$E$12/'導入支援'!$C$16</f>
        <v>244.444444444444</v>
      </c>
      <c r="F56" s="53">
        <f>'損益と現金'!$F$12/'導入支援'!$C$16</f>
        <v>122.222222222222</v>
      </c>
      <c r="G56" s="53">
        <f>'損益と現金'!$G$12/'導入支援'!$C$16</f>
        <v>211.111111111111</v>
      </c>
      <c r="H56" s="53">
        <f>'損益と現金'!$H$12/'導入支援'!$C$16</f>
        <v>222.222222222222</v>
      </c>
      <c r="I56" s="53">
        <f>'損益と現金'!$I$12/'導入支援'!$C$16</f>
        <v>244.444444444444</v>
      </c>
      <c r="J56" s="53">
        <f>'損益と現金'!$J$12/'導入支援'!$C$16</f>
        <v>266.666666666667</v>
      </c>
      <c r="K56" s="53">
        <f>'損益と現金'!$K$12/'導入支援'!$C$16</f>
        <v>288.888888888889</v>
      </c>
      <c r="L56" s="53">
        <f>'損益と現金'!$L$12/'導入支援'!$C$16</f>
        <v>311.111111111111</v>
      </c>
      <c r="M56" s="37" t="inlineStr">
        <is>
          <t>個社設定の人件費÷1人日の人件費（3万円）</t>
        </is>
      </c>
    </row>
    <row r="57" ht="17.5" customHeight="1">
      <c r="A57" s="7" t="inlineStr">
        <is>
          <t>稼働率（導入支援＋個社設定）</t>
        </is>
      </c>
      <c r="B57" s="8" t="inlineStr">
        <is>
          <t>割合</t>
        </is>
      </c>
      <c r="C57" s="30">
        <f>($C$55+$C$56)/$C$54</f>
        <v>1.08055555555556</v>
      </c>
      <c r="D57" s="30">
        <f>($D$55+$D$56)/$D$54</f>
        <v>1.13472222222222</v>
      </c>
      <c r="E57" s="30">
        <f>($E$55+$E$56)/$E$54</f>
        <v>1.04212962962963</v>
      </c>
      <c r="F57" s="30">
        <f>($F$55+$F$56)/$F$54</f>
        <v>0.872376543209877</v>
      </c>
      <c r="G57" s="30">
        <f>($G$55+$G$56)/$G$54</f>
        <v>0.831828703703704</v>
      </c>
      <c r="H57" s="30">
        <f>($H$55+$H$56)/$H$54</f>
        <v>0.903240740740741</v>
      </c>
      <c r="I57" s="30">
        <f>($I$55+$I$56)/$I$54</f>
        <v>0.852057613168724</v>
      </c>
      <c r="J57" s="30">
        <f>($J$55+$J$56)/$J$54</f>
        <v>0.901234567901235</v>
      </c>
      <c r="K57" s="30">
        <f>($K$55+$K$56)/$K$54</f>
        <v>0.911522633744856</v>
      </c>
      <c r="L57" s="30">
        <f>($L$55+$L$56)/$L$54</f>
        <v>0.921810699588477</v>
      </c>
      <c r="M57" s="37" t="inlineStr">
        <is>
          <t>使う人日÷稼働できる人日</t>
        </is>
      </c>
    </row>
    <row r="58" ht="31" customHeight="1">
      <c r="A58" s="2" t="inlineStr">
        <is>
          <t>注：新規拠点はどの年も上限（人数×6）の内に入っている。ただし個社設定もすべて導入コンサルタントが行うとすると、1〜3年目は稼働率が100%を超える。その分はエンジニアや代表が受け持つ前提になる（計算詳細版 p.15「導入コンサルタントとエンジニアが行う」）。人件費は役割ごとに計上済みなので、損益の数字は変わらない。</t>
        </is>
      </c>
    </row>
  </sheetData>
  <mergeCells count="2">
    <mergeCell ref="A2:M2"/>
    <mergeCell ref="A58:M58"/>
  </mergeCells>
  <conditionalFormatting sqref="C4:L59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0" customWidth="1" min="13" max="13"/>
  </cols>
  <sheetData>
    <row r="1" ht="24" customHeight="1">
      <c r="A1" s="1" t="inlineStr">
        <is>
          <t>拠点と売上：期首−解約＋新規＝期末。売上の柱は既存の利用料</t>
        </is>
      </c>
    </row>
    <row r="2" ht="17.5" customHeight="1">
      <c r="A2" s="2" t="inlineStr">
        <is>
          <t>1年目は試験導入で利用料なし。新規は初年度に半年分。解約は期首×10%を四捨五入（1年目は0）。tora_v2.js の run({years:10}) と同じ式（計算詳細版 p.14・15）。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" t="inlineStr">
        <is>
          <t>式（言葉）</t>
        </is>
      </c>
    </row>
    <row r="4" ht="19" customHeight="1">
      <c r="A4" s="3" t="inlineStr">
        <is>
          <t>拠点の積み上げ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7.5" customHeight="1">
      <c r="A5" s="7" t="inlineStr">
        <is>
          <t>期首の拠点</t>
        </is>
      </c>
      <c r="B5" s="8" t="inlineStr">
        <is>
          <t>拠点</t>
        </is>
      </c>
      <c r="C5" s="22">
        <f>'前提'!$E$135</f>
        <v>0</v>
      </c>
      <c r="D5" s="22">
        <f>$C$9</f>
        <v>3</v>
      </c>
      <c r="E5" s="22">
        <f>$D$9</f>
        <v>12</v>
      </c>
      <c r="F5" s="22">
        <f>$E$9</f>
        <v>29</v>
      </c>
      <c r="G5" s="22">
        <f>$F$9</f>
        <v>53</v>
      </c>
      <c r="H5" s="22">
        <f>$G$9</f>
        <v>81</v>
      </c>
      <c r="I5" s="22">
        <f>$H$9</f>
        <v>109</v>
      </c>
      <c r="J5" s="22">
        <f>$I$9</f>
        <v>136</v>
      </c>
      <c r="K5" s="22">
        <f>$J$9</f>
        <v>162</v>
      </c>
      <c r="L5" s="22">
        <f>$K$9</f>
        <v>186</v>
      </c>
      <c r="M5" s="37" t="inlineStr">
        <is>
          <t>前の年の期末。1年目は開業時の拠点（前提7-18）</t>
        </is>
      </c>
    </row>
    <row r="6" ht="17.5" customHeight="1">
      <c r="A6" s="7" t="inlineStr">
        <is>
          <t>使う解約率</t>
        </is>
      </c>
      <c r="B6" s="8" t="inlineStr">
        <is>
          <t>割合/年</t>
        </is>
      </c>
      <c r="C6" s="30">
        <f>IF(ISBLANK('前提'!$E$140),'前提'!$E$119,'前提'!$E$140)</f>
        <v>0.1</v>
      </c>
      <c r="D6" s="30">
        <f>IF(ISBLANK('前提'!$E$140),'前提'!$E$119,'前提'!$E$140)</f>
        <v>0.1</v>
      </c>
      <c r="E6" s="30">
        <f>IF(ISBLANK('前提'!$E$140),'前提'!$E$119,'前提'!$E$140)</f>
        <v>0.1</v>
      </c>
      <c r="F6" s="30">
        <f>IF(ISBLANK('前提'!$E$140),'前提'!$E$119,'前提'!$E$140)</f>
        <v>0.1</v>
      </c>
      <c r="G6" s="30">
        <f>IF(ISBLANK('前提'!$E$140),'前提'!$E$119,'前提'!$E$140)</f>
        <v>0.1</v>
      </c>
      <c r="H6" s="30">
        <f>IF(ISBLANK('前提'!$E$140),'前提'!$E$119,'前提'!$E$140)</f>
        <v>0.1</v>
      </c>
      <c r="I6" s="30">
        <f>IF(ISBLANK('前提'!$E$140),'前提'!$E$119,'前提'!$E$140)</f>
        <v>0.1</v>
      </c>
      <c r="J6" s="30">
        <f>IF(ISBLANK('前提'!$E$140),'前提'!$E$119,'前提'!$E$140)</f>
        <v>0.1</v>
      </c>
      <c r="K6" s="30">
        <f>IF(ISBLANK('前提'!$E$140),'前提'!$E$119,'前提'!$E$140)</f>
        <v>0.1</v>
      </c>
      <c r="L6" s="30">
        <f>IF(ISBLANK('前提'!$E$140),'前提'!$E$119,'前提'!$E$140)</f>
        <v>0.1</v>
      </c>
      <c r="M6" s="37" t="inlineStr">
        <is>
          <t>前提8-2が空なら前提7-2</t>
        </is>
      </c>
    </row>
    <row r="7" ht="17.5" customHeight="1">
      <c r="A7" s="7" t="inlineStr">
        <is>
          <t>解約</t>
        </is>
      </c>
      <c r="B7" s="8" t="inlineStr">
        <is>
          <t>拠点</t>
        </is>
      </c>
      <c r="C7" s="22">
        <f>IF(C$3=1,0,ROUND($C$5*$C$6,0))</f>
        <v>0</v>
      </c>
      <c r="D7" s="22">
        <f>IF(D$3=1,0,ROUND($D$5*$D$6,0))</f>
        <v>0</v>
      </c>
      <c r="E7" s="22">
        <f>IF(E$3=1,0,ROUND($E$5*$E$6,0))</f>
        <v>1</v>
      </c>
      <c r="F7" s="22">
        <f>IF(F$3=1,0,ROUND($F$5*$F$6,0))</f>
        <v>3</v>
      </c>
      <c r="G7" s="22">
        <f>IF(G$3=1,0,ROUND($G$5*$G$6,0))</f>
        <v>5</v>
      </c>
      <c r="H7" s="22">
        <f>IF(H$3=1,0,ROUND($H$5*$H$6,0))</f>
        <v>8</v>
      </c>
      <c r="I7" s="22">
        <f>IF(I$3=1,0,ROUND($I$5*$I$6,0))</f>
        <v>11</v>
      </c>
      <c r="J7" s="22">
        <f>IF(J$3=1,0,ROUND($J$5*$J$6,0))</f>
        <v>14</v>
      </c>
      <c r="K7" s="22">
        <f>IF(K$3=1,0,ROUND($K$5*$K$6,0))</f>
        <v>16</v>
      </c>
      <c r="L7" s="22">
        <f>IF(L$3=1,0,ROUND($L$5*$L$6,0))</f>
        <v>19</v>
      </c>
      <c r="M7" s="37" t="inlineStr">
        <is>
          <t>1年目は0。2年目から 期首×解約率 を四捨五入</t>
        </is>
      </c>
    </row>
    <row r="8" ht="17.5" customHeight="1">
      <c r="A8" s="7" t="inlineStr">
        <is>
          <t>新規</t>
        </is>
      </c>
      <c r="B8" s="8" t="inlineStr">
        <is>
          <t>拠点</t>
        </is>
      </c>
      <c r="C8" s="22">
        <f>'前提'!$E$118</f>
        <v>3</v>
      </c>
      <c r="D8" s="22">
        <f>'前提'!$F$118</f>
        <v>9</v>
      </c>
      <c r="E8" s="22">
        <f>'前提'!$G$118</f>
        <v>18</v>
      </c>
      <c r="F8" s="22">
        <f>'前提'!$H$118</f>
        <v>27</v>
      </c>
      <c r="G8" s="22">
        <f>'前提'!$I$118</f>
        <v>33</v>
      </c>
      <c r="H8" s="22">
        <f>'前提'!$J$118</f>
        <v>36</v>
      </c>
      <c r="I8" s="22">
        <f>'前提'!$K$118</f>
        <v>38</v>
      </c>
      <c r="J8" s="22">
        <f>'前提'!$L$118</f>
        <v>40</v>
      </c>
      <c r="K8" s="22">
        <f>'前提'!$M$118</f>
        <v>40</v>
      </c>
      <c r="L8" s="22">
        <f>'前提'!$N$118</f>
        <v>40</v>
      </c>
      <c r="M8" s="37" t="inlineStr">
        <is>
          <t>前提7-1</t>
        </is>
      </c>
    </row>
    <row r="9" ht="17.5" customHeight="1">
      <c r="A9" s="6" t="inlineStr">
        <is>
          <t>期末の拠点</t>
        </is>
      </c>
      <c r="B9" s="8" t="inlineStr">
        <is>
          <t>拠点</t>
        </is>
      </c>
      <c r="C9" s="52">
        <f>$C$5-$C$7+$C$8</f>
        <v>3</v>
      </c>
      <c r="D9" s="52">
        <f>$D$5-$D$7+$D$8</f>
        <v>12</v>
      </c>
      <c r="E9" s="52">
        <f>$E$5-$E$7+$E$8</f>
        <v>29</v>
      </c>
      <c r="F9" s="52">
        <f>$F$5-$F$7+$F$8</f>
        <v>53</v>
      </c>
      <c r="G9" s="52">
        <f>$G$5-$G$7+$G$8</f>
        <v>81</v>
      </c>
      <c r="H9" s="52">
        <f>$H$5-$H$7+$H$8</f>
        <v>109</v>
      </c>
      <c r="I9" s="52">
        <f>$I$5-$I$7+$I$8</f>
        <v>136</v>
      </c>
      <c r="J9" s="52">
        <f>$J$5-$J$7+$J$8</f>
        <v>162</v>
      </c>
      <c r="K9" s="52">
        <f>$K$5-$K$7+$K$8</f>
        <v>186</v>
      </c>
      <c r="L9" s="52">
        <f>$L$5-$L$7+$L$8</f>
        <v>207</v>
      </c>
      <c r="M9" s="37" t="inlineStr">
        <is>
          <t>期首−解約＋新規</t>
        </is>
      </c>
    </row>
    <row r="10" ht="19" customHeight="1">
      <c r="A10" s="3" t="inlineStr">
        <is>
          <t>利用料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17.5" customHeight="1">
      <c r="A11" s="7" t="inlineStr">
        <is>
          <t>通年で課金する拠点（期首−解約）</t>
        </is>
      </c>
      <c r="B11" s="8" t="inlineStr">
        <is>
          <t>拠点</t>
        </is>
      </c>
      <c r="C11" s="22">
        <f>$C$5-$C$7</f>
        <v>0</v>
      </c>
      <c r="D11" s="22">
        <f>$D$5-$D$7</f>
        <v>3</v>
      </c>
      <c r="E11" s="22">
        <f>$E$5-$E$7</f>
        <v>11</v>
      </c>
      <c r="F11" s="22">
        <f>$F$5-$F$7</f>
        <v>26</v>
      </c>
      <c r="G11" s="22">
        <f>$G$5-$G$7</f>
        <v>48</v>
      </c>
      <c r="H11" s="22">
        <f>$H$5-$H$7</f>
        <v>73</v>
      </c>
      <c r="I11" s="22">
        <f>$I$5-$I$7</f>
        <v>98</v>
      </c>
      <c r="J11" s="22">
        <f>$J$5-$J$7</f>
        <v>122</v>
      </c>
      <c r="K11" s="22">
        <f>$K$5-$K$7</f>
        <v>146</v>
      </c>
      <c r="L11" s="22">
        <f>$L$5-$L$7</f>
        <v>167</v>
      </c>
      <c r="M11" s="37" t="inlineStr">
        <is>
          <t>期首−解約</t>
        </is>
      </c>
    </row>
    <row r="12" ht="17.5" customHeight="1">
      <c r="A12" s="7" t="inlineStr">
        <is>
          <t>1拠点の利用料</t>
        </is>
      </c>
      <c r="B12" s="8" t="inlineStr">
        <is>
          <t>万円/年</t>
        </is>
      </c>
      <c r="C12" s="22">
        <f>'値段と原価'!$C$8</f>
        <v>300</v>
      </c>
      <c r="D12" s="22">
        <f>'値段と原価'!$C$8</f>
        <v>300</v>
      </c>
      <c r="E12" s="22">
        <f>'値段と原価'!$C$8</f>
        <v>300</v>
      </c>
      <c r="F12" s="22">
        <f>'値段と原価'!$C$8</f>
        <v>300</v>
      </c>
      <c r="G12" s="22">
        <f>'値段と原価'!$C$8</f>
        <v>300</v>
      </c>
      <c r="H12" s="22">
        <f>'値段と原価'!$C$8</f>
        <v>300</v>
      </c>
      <c r="I12" s="22">
        <f>'値段と原価'!$C$8</f>
        <v>300</v>
      </c>
      <c r="J12" s="22">
        <f>'値段と原価'!$C$8</f>
        <v>300</v>
      </c>
      <c r="K12" s="22">
        <f>'値段と原価'!$C$8</f>
        <v>300</v>
      </c>
      <c r="L12" s="22">
        <f>'値段と原価'!$C$8</f>
        <v>300</v>
      </c>
      <c r="M12" s="37" t="inlineStr">
        <is>
          <t>値段と原価（値段の倍率を反映）</t>
        </is>
      </c>
    </row>
    <row r="13" ht="17.5" customHeight="1">
      <c r="A13" s="7" t="inlineStr">
        <is>
          <t>新規の初年度の課金割合</t>
        </is>
      </c>
      <c r="B13" s="8" t="inlineStr">
        <is>
          <t>割合</t>
        </is>
      </c>
      <c r="C13" s="30">
        <f>IF(C$3='前提'!$E$121,0,'前提'!$E$120)</f>
        <v>0</v>
      </c>
      <c r="D13" s="30">
        <f>IF(D$3='前提'!$E$121,0,'前提'!$E$120)</f>
        <v>0.5</v>
      </c>
      <c r="E13" s="30">
        <f>IF(E$3='前提'!$E$121,0,'前提'!$E$120)</f>
        <v>0.5</v>
      </c>
      <c r="F13" s="30">
        <f>IF(F$3='前提'!$E$121,0,'前提'!$E$120)</f>
        <v>0.5</v>
      </c>
      <c r="G13" s="30">
        <f>IF(G$3='前提'!$E$121,0,'前提'!$E$120)</f>
        <v>0.5</v>
      </c>
      <c r="H13" s="30">
        <f>IF(H$3='前提'!$E$121,0,'前提'!$E$120)</f>
        <v>0.5</v>
      </c>
      <c r="I13" s="30">
        <f>IF(I$3='前提'!$E$121,0,'前提'!$E$120)</f>
        <v>0.5</v>
      </c>
      <c r="J13" s="30">
        <f>IF(J$3='前提'!$E$121,0,'前提'!$E$120)</f>
        <v>0.5</v>
      </c>
      <c r="K13" s="30">
        <f>IF(K$3='前提'!$E$121,0,'前提'!$E$120)</f>
        <v>0.5</v>
      </c>
      <c r="L13" s="30">
        <f>IF(L$3='前提'!$E$121,0,'前提'!$E$120)</f>
        <v>0.5</v>
      </c>
      <c r="M13" s="37" t="inlineStr">
        <is>
          <t>試験導入の年（1年目）は0、それ以外は半年分</t>
        </is>
      </c>
    </row>
    <row r="14" ht="17.5" customHeight="1">
      <c r="A14" s="7" t="inlineStr">
        <is>
          <t>既存の利用料</t>
        </is>
      </c>
      <c r="B14" s="8" t="inlineStr">
        <is>
          <t>万円/年</t>
        </is>
      </c>
      <c r="C14" s="22">
        <f>$C$11*$C$12</f>
        <v>0</v>
      </c>
      <c r="D14" s="22">
        <f>$D$11*$D$12</f>
        <v>900</v>
      </c>
      <c r="E14" s="22">
        <f>$E$11*$E$12</f>
        <v>3300</v>
      </c>
      <c r="F14" s="22">
        <f>$F$11*$F$12</f>
        <v>7800</v>
      </c>
      <c r="G14" s="22">
        <f>$G$11*$G$12</f>
        <v>14400</v>
      </c>
      <c r="H14" s="22">
        <f>$H$11*$H$12</f>
        <v>21900</v>
      </c>
      <c r="I14" s="22">
        <f>$I$11*$I$12</f>
        <v>29400</v>
      </c>
      <c r="J14" s="22">
        <f>$J$11*$J$12</f>
        <v>36600</v>
      </c>
      <c r="K14" s="22">
        <f>$K$11*$K$12</f>
        <v>43800</v>
      </c>
      <c r="L14" s="22">
        <f>$L$11*$L$12</f>
        <v>50100</v>
      </c>
      <c r="M14" s="37" t="inlineStr">
        <is>
          <t>(期首−解約)×1拠点の利用料</t>
        </is>
      </c>
    </row>
    <row r="15" ht="17.5" customHeight="1">
      <c r="A15" s="7" t="inlineStr">
        <is>
          <t>新規の利用料</t>
        </is>
      </c>
      <c r="B15" s="8" t="inlineStr">
        <is>
          <t>万円/年</t>
        </is>
      </c>
      <c r="C15" s="22">
        <f>$C$8*$C$12*$C$13</f>
        <v>0</v>
      </c>
      <c r="D15" s="22">
        <f>$D$8*$D$12*$D$13</f>
        <v>1350</v>
      </c>
      <c r="E15" s="22">
        <f>$E$8*$E$12*$E$13</f>
        <v>2700</v>
      </c>
      <c r="F15" s="22">
        <f>$F$8*$F$12*$F$13</f>
        <v>4050</v>
      </c>
      <c r="G15" s="22">
        <f>$G$8*$G$12*$G$13</f>
        <v>4950</v>
      </c>
      <c r="H15" s="22">
        <f>$H$8*$H$12*$H$13</f>
        <v>5400</v>
      </c>
      <c r="I15" s="22">
        <f>$I$8*$I$12*$I$13</f>
        <v>5700</v>
      </c>
      <c r="J15" s="22">
        <f>$J$8*$J$12*$J$13</f>
        <v>6000</v>
      </c>
      <c r="K15" s="22">
        <f>$K$8*$K$12*$K$13</f>
        <v>6000</v>
      </c>
      <c r="L15" s="22">
        <f>$L$8*$L$12*$L$13</f>
        <v>6000</v>
      </c>
      <c r="M15" s="37" t="inlineStr">
        <is>
          <t>新規×1拠点の利用料×初年度の課金割合</t>
        </is>
      </c>
    </row>
    <row r="16" ht="17.5" customHeight="1">
      <c r="A16" s="6" t="inlineStr">
        <is>
          <t>利用料の合計</t>
        </is>
      </c>
      <c r="B16" s="8" t="inlineStr">
        <is>
          <t>万円/年</t>
        </is>
      </c>
      <c r="C16" s="52">
        <f>$C$14+$C$15</f>
        <v>0</v>
      </c>
      <c r="D16" s="52">
        <f>$D$14+$D$15</f>
        <v>2250</v>
      </c>
      <c r="E16" s="52">
        <f>$E$14+$E$15</f>
        <v>6000</v>
      </c>
      <c r="F16" s="52">
        <f>$F$14+$F$15</f>
        <v>11850</v>
      </c>
      <c r="G16" s="52">
        <f>$G$14+$G$15</f>
        <v>19350</v>
      </c>
      <c r="H16" s="52">
        <f>$H$14+$H$15</f>
        <v>27300</v>
      </c>
      <c r="I16" s="52">
        <f>$I$14+$I$15</f>
        <v>35100</v>
      </c>
      <c r="J16" s="52">
        <f>$J$14+$J$15</f>
        <v>42600</v>
      </c>
      <c r="K16" s="52">
        <f>$K$14+$K$15</f>
        <v>49800</v>
      </c>
      <c r="L16" s="52">
        <f>$L$14+$L$15</f>
        <v>56100</v>
      </c>
      <c r="M16" s="37" t="inlineStr">
        <is>
          <t>既存＋新規</t>
        </is>
      </c>
    </row>
    <row r="17" ht="17.5" customHeight="1">
      <c r="A17" s="7" t="inlineStr">
        <is>
          <t>参考：解約で減った利用料</t>
        </is>
      </c>
      <c r="B17" s="8" t="inlineStr">
        <is>
          <t>万円/年</t>
        </is>
      </c>
      <c r="C17" s="22">
        <f>$C$7*$C$12</f>
        <v>0</v>
      </c>
      <c r="D17" s="22">
        <f>$D$7*$D$12</f>
        <v>0</v>
      </c>
      <c r="E17" s="22">
        <f>$E$7*$E$12</f>
        <v>300</v>
      </c>
      <c r="F17" s="22">
        <f>$F$7*$F$12</f>
        <v>900</v>
      </c>
      <c r="G17" s="22">
        <f>$G$7*$G$12</f>
        <v>1500</v>
      </c>
      <c r="H17" s="22">
        <f>$H$7*$H$12</f>
        <v>2400</v>
      </c>
      <c r="I17" s="22">
        <f>$I$7*$I$12</f>
        <v>3300</v>
      </c>
      <c r="J17" s="22">
        <f>$J$7*$J$12</f>
        <v>4200</v>
      </c>
      <c r="K17" s="22">
        <f>$K$7*$K$12</f>
        <v>4800</v>
      </c>
      <c r="L17" s="22">
        <f>$L$7*$L$12</f>
        <v>5700</v>
      </c>
      <c r="M17" s="37" t="inlineStr">
        <is>
          <t>解約×1拠点の利用料</t>
        </is>
      </c>
    </row>
    <row r="18" ht="19" customHeight="1">
      <c r="A18" s="3" t="inlineStr">
        <is>
          <t>サービスと売上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17.5" customHeight="1">
      <c r="A19" s="7" t="inlineStr">
        <is>
          <t>導入支援</t>
        </is>
      </c>
      <c r="B19" s="8" t="inlineStr">
        <is>
          <t>万円/年</t>
        </is>
      </c>
      <c r="C19" s="22">
        <f>$C$8*'前提'!$E$25</f>
        <v>600</v>
      </c>
      <c r="D19" s="22">
        <f>$D$8*'前提'!$E$25</f>
        <v>1800</v>
      </c>
      <c r="E19" s="22">
        <f>$E$8*'前提'!$E$25</f>
        <v>3600</v>
      </c>
      <c r="F19" s="22">
        <f>$F$8*'前提'!$E$25</f>
        <v>5400</v>
      </c>
      <c r="G19" s="22">
        <f>$G$8*'前提'!$E$25</f>
        <v>6600</v>
      </c>
      <c r="H19" s="22">
        <f>$H$8*'前提'!$E$25</f>
        <v>7200</v>
      </c>
      <c r="I19" s="22">
        <f>$I$8*'前提'!$E$25</f>
        <v>7600</v>
      </c>
      <c r="J19" s="22">
        <f>$J$8*'前提'!$E$25</f>
        <v>8000</v>
      </c>
      <c r="K19" s="22">
        <f>$K$8*'前提'!$E$25</f>
        <v>8000</v>
      </c>
      <c r="L19" s="22">
        <f>$L$8*'前提'!$E$25</f>
        <v>8000</v>
      </c>
      <c r="M19" s="37" t="inlineStr">
        <is>
          <t>新規×200万円</t>
        </is>
      </c>
    </row>
    <row r="20" ht="17.5" customHeight="1">
      <c r="A20" s="7" t="inlineStr">
        <is>
          <t>個社設定</t>
        </is>
      </c>
      <c r="B20" s="8" t="inlineStr">
        <is>
          <t>万円/年</t>
        </is>
      </c>
      <c r="C20" s="22">
        <f>'前提'!$E$124</f>
        <v>600</v>
      </c>
      <c r="D20" s="22">
        <f>'前提'!$F$124</f>
        <v>750</v>
      </c>
      <c r="E20" s="22">
        <f>'前提'!$G$124</f>
        <v>1100</v>
      </c>
      <c r="F20" s="22">
        <f>'前提'!$H$124</f>
        <v>550</v>
      </c>
      <c r="G20" s="22">
        <f>'前提'!$I$124</f>
        <v>950</v>
      </c>
      <c r="H20" s="22">
        <f>'前提'!$J$124</f>
        <v>1000</v>
      </c>
      <c r="I20" s="22">
        <f>'前提'!$K$124</f>
        <v>1100</v>
      </c>
      <c r="J20" s="22">
        <f>'前提'!$L$124</f>
        <v>1200</v>
      </c>
      <c r="K20" s="22">
        <f>'前提'!$M$124</f>
        <v>1300</v>
      </c>
      <c r="L20" s="22">
        <f>'前提'!$N$124</f>
        <v>1400</v>
      </c>
      <c r="M20" s="37" t="inlineStr">
        <is>
          <t>前提7-7</t>
        </is>
      </c>
    </row>
    <row r="21" ht="17.5" customHeight="1">
      <c r="A21" s="7" t="inlineStr">
        <is>
          <t>サービスの売上</t>
        </is>
      </c>
      <c r="B21" s="8" t="inlineStr">
        <is>
          <t>万円/年</t>
        </is>
      </c>
      <c r="C21" s="22">
        <f>$C$19+$C$20</f>
        <v>1200</v>
      </c>
      <c r="D21" s="22">
        <f>$D$19+$D$20</f>
        <v>2550</v>
      </c>
      <c r="E21" s="22">
        <f>$E$19+$E$20</f>
        <v>4700</v>
      </c>
      <c r="F21" s="22">
        <f>$F$19+$F$20</f>
        <v>5950</v>
      </c>
      <c r="G21" s="22">
        <f>$G$19+$G$20</f>
        <v>7550</v>
      </c>
      <c r="H21" s="22">
        <f>$H$19+$H$20</f>
        <v>8200</v>
      </c>
      <c r="I21" s="22">
        <f>$I$19+$I$20</f>
        <v>8700</v>
      </c>
      <c r="J21" s="22">
        <f>$J$19+$J$20</f>
        <v>9200</v>
      </c>
      <c r="K21" s="22">
        <f>$K$19+$K$20</f>
        <v>9300</v>
      </c>
      <c r="L21" s="22">
        <f>$L$19+$L$20</f>
        <v>9400</v>
      </c>
      <c r="M21" s="37" t="inlineStr">
        <is>
          <t>導入支援＋個社設定</t>
        </is>
      </c>
    </row>
    <row r="22" ht="17.5" customHeight="1">
      <c r="A22" s="6" t="inlineStr">
        <is>
          <t>売上</t>
        </is>
      </c>
      <c r="B22" s="8" t="inlineStr">
        <is>
          <t>万円/年</t>
        </is>
      </c>
      <c r="C22" s="52">
        <f>$C$16+$C$21</f>
        <v>1200</v>
      </c>
      <c r="D22" s="52">
        <f>$D$16+$D$21</f>
        <v>4800</v>
      </c>
      <c r="E22" s="52">
        <f>$E$16+$E$21</f>
        <v>10700</v>
      </c>
      <c r="F22" s="52">
        <f>$F$16+$F$21</f>
        <v>17800</v>
      </c>
      <c r="G22" s="52">
        <f>$G$16+$G$21</f>
        <v>26900</v>
      </c>
      <c r="H22" s="52">
        <f>$H$16+$H$21</f>
        <v>35500</v>
      </c>
      <c r="I22" s="52">
        <f>$I$16+$I$21</f>
        <v>43800</v>
      </c>
      <c r="J22" s="52">
        <f>$J$16+$J$21</f>
        <v>51800</v>
      </c>
      <c r="K22" s="52">
        <f>$K$16+$K$21</f>
        <v>59100</v>
      </c>
      <c r="L22" s="52">
        <f>$L$16+$L$21</f>
        <v>65500</v>
      </c>
      <c r="M22" s="37" t="inlineStr">
        <is>
          <t>利用料＋サービス</t>
        </is>
      </c>
    </row>
    <row r="23" ht="17.5" customHeight="1">
      <c r="A23" s="7" t="inlineStr">
        <is>
          <t>既存の利用料の割合</t>
        </is>
      </c>
      <c r="B23" s="8" t="inlineStr">
        <is>
          <t>割合</t>
        </is>
      </c>
      <c r="C23" s="30">
        <f>$C$14/$C$22</f>
        <v>0</v>
      </c>
      <c r="D23" s="30">
        <f>$D$14/$D$22</f>
        <v>0.1875</v>
      </c>
      <c r="E23" s="30">
        <f>$E$14/$E$22</f>
        <v>0.308411214953271</v>
      </c>
      <c r="F23" s="30">
        <f>$F$14/$F$22</f>
        <v>0.438202247191011</v>
      </c>
      <c r="G23" s="30">
        <f>$G$14/$G$22</f>
        <v>0.535315985130112</v>
      </c>
      <c r="H23" s="30">
        <f>$H$14/$H$22</f>
        <v>0.616901408450704</v>
      </c>
      <c r="I23" s="30">
        <f>$I$14/$I$22</f>
        <v>0.671232876712329</v>
      </c>
      <c r="J23" s="30">
        <f>$J$14/$J$22</f>
        <v>0.706563706563707</v>
      </c>
      <c r="K23" s="30">
        <f>$K$14/$K$22</f>
        <v>0.741116751269036</v>
      </c>
      <c r="L23" s="30">
        <f>$L$14/$L$22</f>
        <v>0.764885496183206</v>
      </c>
      <c r="M23" s="37" t="inlineStr">
        <is>
          <t>既存の利用料÷売上</t>
        </is>
      </c>
    </row>
  </sheetData>
  <mergeCells count="1">
    <mergeCell ref="A2:M2"/>
  </mergeCells>
  <conditionalFormatting sqref="C4:L24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0" customWidth="1" min="13" max="13"/>
  </cols>
  <sheetData>
    <row r="1" ht="24" customHeight="1">
      <c r="A1" s="1" t="inlineStr">
        <is>
          <t>損益と現金：10台のままでも6年目に黒字、8年目に累計を取り戻す</t>
        </is>
      </c>
    </row>
    <row r="2" ht="17.5" customHeight="1">
      <c r="A2" s="2" t="inlineStr">
        <is>
          <t>販管費＝人件費−原価への振替＋採用費＋その他の経費＋顧問。導入支援と個社設定の人件費は原価へ振り替える。tora_v2.js の run({years:10}) と同じ式（計算詳細版 p.3・18・30）。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" t="inlineStr">
        <is>
          <t>式（言葉）</t>
        </is>
      </c>
    </row>
    <row r="4" ht="19" customHeight="1">
      <c r="A4" s="3" t="inlineStr">
        <is>
          <t>原価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7.5" customHeight="1">
      <c r="A5" s="7" t="inlineStr">
        <is>
          <t>課金する拠点（通年換算）</t>
        </is>
      </c>
      <c r="B5" s="8" t="inlineStr">
        <is>
          <t>拠点</t>
        </is>
      </c>
      <c r="C5" s="53">
        <f>'拠点と売上'!$C$11+'拠点と売上'!$C$8*'拠点と売上'!$C$13</f>
        <v>0</v>
      </c>
      <c r="D5" s="53">
        <f>'拠点と売上'!$D$11+'拠点と売上'!$D$8*'拠点と売上'!$D$13</f>
        <v>7.5</v>
      </c>
      <c r="E5" s="53">
        <f>'拠点と売上'!$E$11+'拠点と売上'!$E$8*'拠点と売上'!$E$13</f>
        <v>20</v>
      </c>
      <c r="F5" s="53">
        <f>'拠点と売上'!$F$11+'拠点と売上'!$F$8*'拠点と売上'!$F$13</f>
        <v>39.5</v>
      </c>
      <c r="G5" s="53">
        <f>'拠点と売上'!$G$11+'拠点と売上'!$G$8*'拠点と売上'!$G$13</f>
        <v>64.5</v>
      </c>
      <c r="H5" s="53">
        <f>'拠点と売上'!$H$11+'拠点と売上'!$H$8*'拠点と売上'!$H$13</f>
        <v>91</v>
      </c>
      <c r="I5" s="53">
        <f>'拠点と売上'!$I$11+'拠点と売上'!$I$8*'拠点と売上'!$I$13</f>
        <v>117</v>
      </c>
      <c r="J5" s="53">
        <f>'拠点と売上'!$J$11+'拠点と売上'!$J$8*'拠点と売上'!$J$13</f>
        <v>142</v>
      </c>
      <c r="K5" s="53">
        <f>'拠点と売上'!$K$11+'拠点と売上'!$K$8*'拠点と売上'!$K$13</f>
        <v>166</v>
      </c>
      <c r="L5" s="53">
        <f>'拠点と売上'!$L$11+'拠点と売上'!$L$8*'拠点と売上'!$L$13</f>
        <v>187</v>
      </c>
      <c r="M5" s="37" t="inlineStr">
        <is>
          <t>(期首−解約)＋新規×初年度の課金割合</t>
        </is>
      </c>
    </row>
    <row r="6" ht="17.5" customHeight="1">
      <c r="A6" s="7" t="inlineStr">
        <is>
          <t>1拠点の原価</t>
        </is>
      </c>
      <c r="B6" s="8" t="inlineStr">
        <is>
          <t>万円/年</t>
        </is>
      </c>
      <c r="C6" s="53">
        <f>'値段と原価'!$C$14</f>
        <v>84</v>
      </c>
      <c r="D6" s="53">
        <f>'値段と原価'!$C$14</f>
        <v>84</v>
      </c>
      <c r="E6" s="53">
        <f>'値段と原価'!$C$14</f>
        <v>84</v>
      </c>
      <c r="F6" s="53">
        <f>'値段と原価'!$C$14</f>
        <v>84</v>
      </c>
      <c r="G6" s="53">
        <f>'値段と原価'!$C$14</f>
        <v>84</v>
      </c>
      <c r="H6" s="53">
        <f>'値段と原価'!$C$14</f>
        <v>84</v>
      </c>
      <c r="I6" s="53">
        <f>'値段と原価'!$C$14</f>
        <v>84</v>
      </c>
      <c r="J6" s="53">
        <f>'値段と原価'!$C$14</f>
        <v>84</v>
      </c>
      <c r="K6" s="53">
        <f>'値段と原価'!$C$14</f>
        <v>84</v>
      </c>
      <c r="L6" s="53">
        <f>'値段と原価'!$C$14</f>
        <v>84</v>
      </c>
      <c r="M6" s="37" t="inlineStr">
        <is>
          <t>値段と原価（データ基盤＋1台の原価×台数）</t>
        </is>
      </c>
    </row>
    <row r="7" ht="17.5" customHeight="1">
      <c r="A7" s="7" t="inlineStr">
        <is>
          <t>試験導入の原価（3か月分）</t>
        </is>
      </c>
      <c r="B7" s="8" t="inlineStr">
        <is>
          <t>万円/年</t>
        </is>
      </c>
      <c r="C7" s="22">
        <f>IF(C$3='前提'!$E$121,'拠点と売上'!$C$8*$C$6*'前提'!$E$123,0)</f>
        <v>63</v>
      </c>
      <c r="D7" s="22">
        <f>IF(D$3='前提'!$E$121,'拠点と売上'!$D$8*$D$6*'前提'!$E$123,0)</f>
        <v>0</v>
      </c>
      <c r="E7" s="22">
        <f>IF(E$3='前提'!$E$121,'拠点と売上'!$E$8*$E$6*'前提'!$E$123,0)</f>
        <v>0</v>
      </c>
      <c r="F7" s="22">
        <f>IF(F$3='前提'!$E$121,'拠点と売上'!$F$8*$F$6*'前提'!$E$123,0)</f>
        <v>0</v>
      </c>
      <c r="G7" s="22">
        <f>IF(G$3='前提'!$E$121,'拠点と売上'!$G$8*$G$6*'前提'!$E$123,0)</f>
        <v>0</v>
      </c>
      <c r="H7" s="22">
        <f>IF(H$3='前提'!$E$121,'拠点と売上'!$H$8*$H$6*'前提'!$E$123,0)</f>
        <v>0</v>
      </c>
      <c r="I7" s="22">
        <f>IF(I$3='前提'!$E$121,'拠点と売上'!$I$8*$I$6*'前提'!$E$123,0)</f>
        <v>0</v>
      </c>
      <c r="J7" s="22">
        <f>IF(J$3='前提'!$E$121,'拠点と売上'!$J$8*$J$6*'前提'!$E$123,0)</f>
        <v>0</v>
      </c>
      <c r="K7" s="22">
        <f>IF(K$3='前提'!$E$121,'拠点と売上'!$K$8*$K$6*'前提'!$E$123,0)</f>
        <v>0</v>
      </c>
      <c r="L7" s="22">
        <f>IF(L$3='前提'!$E$121,'拠点と売上'!$L$8*$L$6*'前提'!$E$123,0)</f>
        <v>0</v>
      </c>
      <c r="M7" s="37" t="inlineStr">
        <is>
          <t>試験導入の年だけ 新規×1拠点の原価×3/12</t>
        </is>
      </c>
    </row>
    <row r="8" ht="17.5" customHeight="1">
      <c r="A8" s="7" t="inlineStr">
        <is>
          <t>利用料の原価</t>
        </is>
      </c>
      <c r="B8" s="8" t="inlineStr">
        <is>
          <t>万円/年</t>
        </is>
      </c>
      <c r="C8" s="22">
        <f>$C$5*$C$6+$C$7</f>
        <v>63</v>
      </c>
      <c r="D8" s="22">
        <f>$D$5*$D$6+$D$7</f>
        <v>630</v>
      </c>
      <c r="E8" s="22">
        <f>$E$5*$E$6+$E$7</f>
        <v>1680</v>
      </c>
      <c r="F8" s="22">
        <f>$F$5*$F$6+$F$7</f>
        <v>3318</v>
      </c>
      <c r="G8" s="22">
        <f>$G$5*$G$6+$G$7</f>
        <v>5418</v>
      </c>
      <c r="H8" s="22">
        <f>$H$5*$H$6+$H$7</f>
        <v>7644</v>
      </c>
      <c r="I8" s="22">
        <f>$I$5*$I$6+$I$7</f>
        <v>9828</v>
      </c>
      <c r="J8" s="22">
        <f>$J$5*$J$6+$J$7</f>
        <v>11928</v>
      </c>
      <c r="K8" s="22">
        <f>$K$5*$K$6+$K$7</f>
        <v>13944</v>
      </c>
      <c r="L8" s="22">
        <f>$L$5*$L$6+$L$7</f>
        <v>15708</v>
      </c>
      <c r="M8" s="37" t="inlineStr">
        <is>
          <t>課金する拠点×1拠点の原価＋試験導入の原価</t>
        </is>
      </c>
    </row>
    <row r="9" ht="17.5" customHeight="1">
      <c r="A9" s="7" t="inlineStr">
        <is>
          <t>導入支援の人件費</t>
        </is>
      </c>
      <c r="B9" s="8" t="inlineStr">
        <is>
          <t>万円/年</t>
        </is>
      </c>
      <c r="C9" s="22">
        <f>'拠点と売上'!$C$8*'導入支援'!$C$17</f>
        <v>378</v>
      </c>
      <c r="D9" s="22">
        <f>'拠点と売上'!$D$8*'導入支援'!$C$17</f>
        <v>1134</v>
      </c>
      <c r="E9" s="22">
        <f>'拠点と売上'!$E$8*'導入支援'!$C$17</f>
        <v>2268</v>
      </c>
      <c r="F9" s="22">
        <f>'拠点と売上'!$F$8*'導入支援'!$C$17</f>
        <v>3402</v>
      </c>
      <c r="G9" s="22">
        <f>'拠点と売上'!$G$8*'導入支援'!$C$17</f>
        <v>4158</v>
      </c>
      <c r="H9" s="22">
        <f>'拠点と売上'!$H$8*'導入支援'!$C$17</f>
        <v>4536</v>
      </c>
      <c r="I9" s="22">
        <f>'拠点と売上'!$I$8*'導入支援'!$C$17</f>
        <v>4788</v>
      </c>
      <c r="J9" s="22">
        <f>'拠点と売上'!$J$8*'導入支援'!$C$17</f>
        <v>5040</v>
      </c>
      <c r="K9" s="22">
        <f>'拠点と売上'!$K$8*'導入支援'!$C$17</f>
        <v>5040</v>
      </c>
      <c r="L9" s="22">
        <f>'拠点と売上'!$L$8*'導入支援'!$C$17</f>
        <v>5040</v>
      </c>
      <c r="M9" s="37" t="inlineStr">
        <is>
          <t>新規×126万円（42人日×3万円）</t>
        </is>
      </c>
    </row>
    <row r="10" ht="17.5" customHeight="1">
      <c r="A10" s="7" t="inlineStr">
        <is>
          <t>導入支援の交通費</t>
        </is>
      </c>
      <c r="B10" s="8" t="inlineStr">
        <is>
          <t>万円/年</t>
        </is>
      </c>
      <c r="C10" s="22">
        <f>'拠点と売上'!$C$8*'前提'!$E$88</f>
        <v>45</v>
      </c>
      <c r="D10" s="22">
        <f>'拠点と売上'!$D$8*'前提'!$E$88</f>
        <v>135</v>
      </c>
      <c r="E10" s="22">
        <f>'拠点と売上'!$E$8*'前提'!$E$88</f>
        <v>270</v>
      </c>
      <c r="F10" s="22">
        <f>'拠点と売上'!$F$8*'前提'!$E$88</f>
        <v>405</v>
      </c>
      <c r="G10" s="22">
        <f>'拠点と売上'!$G$8*'前提'!$E$88</f>
        <v>495</v>
      </c>
      <c r="H10" s="22">
        <f>'拠点と売上'!$H$8*'前提'!$E$88</f>
        <v>540</v>
      </c>
      <c r="I10" s="22">
        <f>'拠点と売上'!$I$8*'前提'!$E$88</f>
        <v>570</v>
      </c>
      <c r="J10" s="22">
        <f>'拠点と売上'!$J$8*'前提'!$E$88</f>
        <v>600</v>
      </c>
      <c r="K10" s="22">
        <f>'拠点と売上'!$K$8*'前提'!$E$88</f>
        <v>600</v>
      </c>
      <c r="L10" s="22">
        <f>'拠点と売上'!$L$8*'前提'!$E$88</f>
        <v>600</v>
      </c>
      <c r="M10" s="37" t="inlineStr">
        <is>
          <t>新規×15万円</t>
        </is>
      </c>
    </row>
    <row r="11" ht="17.5" customHeight="1">
      <c r="A11" s="7" t="inlineStr">
        <is>
          <t>導入支援の原価</t>
        </is>
      </c>
      <c r="B11" s="8" t="inlineStr">
        <is>
          <t>万円/年</t>
        </is>
      </c>
      <c r="C11" s="22">
        <f>$C$9+$C$10</f>
        <v>423</v>
      </c>
      <c r="D11" s="22">
        <f>$D$9+$D$10</f>
        <v>1269</v>
      </c>
      <c r="E11" s="22">
        <f>$E$9+$E$10</f>
        <v>2538</v>
      </c>
      <c r="F11" s="22">
        <f>$F$9+$F$10</f>
        <v>3807</v>
      </c>
      <c r="G11" s="22">
        <f>$G$9+$G$10</f>
        <v>4653</v>
      </c>
      <c r="H11" s="22">
        <f>$H$9+$H$10</f>
        <v>5076</v>
      </c>
      <c r="I11" s="22">
        <f>$I$9+$I$10</f>
        <v>5358</v>
      </c>
      <c r="J11" s="22">
        <f>$J$9+$J$10</f>
        <v>5640</v>
      </c>
      <c r="K11" s="22">
        <f>$K$9+$K$10</f>
        <v>5640</v>
      </c>
      <c r="L11" s="22">
        <f>$L$9+$L$10</f>
        <v>5640</v>
      </c>
      <c r="M11" s="37" t="inlineStr">
        <is>
          <t>人件費＋交通費</t>
        </is>
      </c>
    </row>
    <row r="12" ht="17.5" customHeight="1">
      <c r="A12" s="7" t="inlineStr">
        <is>
          <t>個社設定の人件費</t>
        </is>
      </c>
      <c r="B12" s="8" t="inlineStr">
        <is>
          <t>万円/年</t>
        </is>
      </c>
      <c r="C12" s="53">
        <f>'拠点と売上'!$C$20*(1-'前提'!$E$125)</f>
        <v>400</v>
      </c>
      <c r="D12" s="53">
        <f>'拠点と売上'!$D$20*(1-'前提'!$E$125)</f>
        <v>500</v>
      </c>
      <c r="E12" s="53">
        <f>'拠点と売上'!$E$20*(1-'前提'!$E$125)</f>
        <v>733.333333333333</v>
      </c>
      <c r="F12" s="53">
        <f>'拠点と売上'!$F$20*(1-'前提'!$E$125)</f>
        <v>366.666666666667</v>
      </c>
      <c r="G12" s="53">
        <f>'拠点と売上'!$G$20*(1-'前提'!$E$125)</f>
        <v>633.333333333333</v>
      </c>
      <c r="H12" s="53">
        <f>'拠点と売上'!$H$20*(1-'前提'!$E$125)</f>
        <v>666.666666666667</v>
      </c>
      <c r="I12" s="53">
        <f>'拠点と売上'!$I$20*(1-'前提'!$E$125)</f>
        <v>733.333333333333</v>
      </c>
      <c r="J12" s="53">
        <f>'拠点と売上'!$J$20*(1-'前提'!$E$125)</f>
        <v>800</v>
      </c>
      <c r="K12" s="53">
        <f>'拠点と売上'!$K$20*(1-'前提'!$E$125)</f>
        <v>866.666666666667</v>
      </c>
      <c r="L12" s="53">
        <f>'拠点と売上'!$L$20*(1-'前提'!$E$125)</f>
        <v>933.333333333334</v>
      </c>
      <c r="M12" s="37" t="inlineStr">
        <is>
          <t>個社設定×2/3（粗利1/3）</t>
        </is>
      </c>
    </row>
    <row r="13" ht="17.5" customHeight="1">
      <c r="A13" s="6" t="inlineStr">
        <is>
          <t>原価の合計</t>
        </is>
      </c>
      <c r="B13" s="8" t="inlineStr">
        <is>
          <t>万円/年</t>
        </is>
      </c>
      <c r="C13" s="55">
        <f>$C$8+$C$11+$C$12</f>
        <v>886</v>
      </c>
      <c r="D13" s="55">
        <f>$D$8+$D$11+$D$12</f>
        <v>2399</v>
      </c>
      <c r="E13" s="55">
        <f>$E$8+$E$11+$E$12</f>
        <v>4951.33333333333</v>
      </c>
      <c r="F13" s="55">
        <f>$F$8+$F$11+$F$12</f>
        <v>7491.66666666667</v>
      </c>
      <c r="G13" s="55">
        <f>$G$8+$G$11+$G$12</f>
        <v>10704.3333333333</v>
      </c>
      <c r="H13" s="55">
        <f>$H$8+$H$11+$H$12</f>
        <v>13386.6666666667</v>
      </c>
      <c r="I13" s="55">
        <f>$I$8+$I$11+$I$12</f>
        <v>15919.3333333333</v>
      </c>
      <c r="J13" s="55">
        <f>$J$8+$J$11+$J$12</f>
        <v>18368</v>
      </c>
      <c r="K13" s="55">
        <f>$K$8+$K$11+$K$12</f>
        <v>20450.6666666667</v>
      </c>
      <c r="L13" s="55">
        <f>$L$8+$L$11+$L$12</f>
        <v>22281.3333333333</v>
      </c>
      <c r="M13" s="37" t="inlineStr">
        <is>
          <t>利用料の原価＋導入支援の原価＋個社設定の人件費</t>
        </is>
      </c>
    </row>
    <row r="14" ht="19" customHeight="1">
      <c r="A14" s="3" t="inlineStr">
        <is>
          <t>粗利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7.5" customHeight="1">
      <c r="A15" s="7" t="inlineStr">
        <is>
          <t>売上</t>
        </is>
      </c>
      <c r="B15" s="8" t="inlineStr">
        <is>
          <t>万円/年</t>
        </is>
      </c>
      <c r="C15" s="22">
        <f>'拠点と売上'!$C$22</f>
        <v>1200</v>
      </c>
      <c r="D15" s="22">
        <f>'拠点と売上'!$D$22</f>
        <v>4800</v>
      </c>
      <c r="E15" s="22">
        <f>'拠点と売上'!$E$22</f>
        <v>10700</v>
      </c>
      <c r="F15" s="22">
        <f>'拠点と売上'!$F$22</f>
        <v>17800</v>
      </c>
      <c r="G15" s="22">
        <f>'拠点と売上'!$G$22</f>
        <v>26900</v>
      </c>
      <c r="H15" s="22">
        <f>'拠点と売上'!$H$22</f>
        <v>35500</v>
      </c>
      <c r="I15" s="22">
        <f>'拠点と売上'!$I$22</f>
        <v>43800</v>
      </c>
      <c r="J15" s="22">
        <f>'拠点と売上'!$J$22</f>
        <v>51800</v>
      </c>
      <c r="K15" s="22">
        <f>'拠点と売上'!$K$22</f>
        <v>59100</v>
      </c>
      <c r="L15" s="22">
        <f>'拠点と売上'!$L$22</f>
        <v>65500</v>
      </c>
      <c r="M15" s="37" t="inlineStr">
        <is>
          <t>拠点と売上</t>
        </is>
      </c>
    </row>
    <row r="16" ht="17.5" customHeight="1">
      <c r="A16" s="6" t="inlineStr">
        <is>
          <t>粗利</t>
        </is>
      </c>
      <c r="B16" s="8" t="inlineStr">
        <is>
          <t>万円/年</t>
        </is>
      </c>
      <c r="C16" s="52">
        <f>$C$15-$C$13</f>
        <v>314</v>
      </c>
      <c r="D16" s="52">
        <f>$D$15-$D$13</f>
        <v>2401</v>
      </c>
      <c r="E16" s="52">
        <f>$E$15-$E$13</f>
        <v>5748.66666666667</v>
      </c>
      <c r="F16" s="52">
        <f>$F$15-$F$13</f>
        <v>10308.3333333333</v>
      </c>
      <c r="G16" s="52">
        <f>$G$15-$G$13</f>
        <v>16195.6666666667</v>
      </c>
      <c r="H16" s="52">
        <f>$H$15-$H$13</f>
        <v>22113.3333333333</v>
      </c>
      <c r="I16" s="52">
        <f>$I$15-$I$13</f>
        <v>27880.6666666667</v>
      </c>
      <c r="J16" s="52">
        <f>$J$15-$J$13</f>
        <v>33432</v>
      </c>
      <c r="K16" s="52">
        <f>$K$15-$K$13</f>
        <v>38649.3333333333</v>
      </c>
      <c r="L16" s="52">
        <f>$L$15-$L$13</f>
        <v>43218.6666666667</v>
      </c>
      <c r="M16" s="37" t="inlineStr">
        <is>
          <t>売上−原価</t>
        </is>
      </c>
    </row>
    <row r="17" ht="17.5" customHeight="1">
      <c r="A17" s="7" t="inlineStr">
        <is>
          <t>粗利率</t>
        </is>
      </c>
      <c r="B17" s="8" t="inlineStr">
        <is>
          <t>割合</t>
        </is>
      </c>
      <c r="C17" s="28">
        <f>$C$16/$C$15</f>
        <v>0.261666666666667</v>
      </c>
      <c r="D17" s="28">
        <f>$D$16/$D$15</f>
        <v>0.500208333333333</v>
      </c>
      <c r="E17" s="28">
        <f>$E$16/$E$15</f>
        <v>0.537258566978193</v>
      </c>
      <c r="F17" s="28">
        <f>$F$16/$F$15</f>
        <v>0.579119850187266</v>
      </c>
      <c r="G17" s="28">
        <f>$G$16/$G$15</f>
        <v>0.602069392812887</v>
      </c>
      <c r="H17" s="28">
        <f>$H$16/$H$15</f>
        <v>0.622910798122066</v>
      </c>
      <c r="I17" s="28">
        <f>$I$16/$I$15</f>
        <v>0.636544901065449</v>
      </c>
      <c r="J17" s="28">
        <f>$J$16/$J$15</f>
        <v>0.645405405405405</v>
      </c>
      <c r="K17" s="28">
        <f>$K$16/$K$15</f>
        <v>0.653965031020868</v>
      </c>
      <c r="L17" s="28">
        <f>$L$16/$L$15</f>
        <v>0.659826972010178</v>
      </c>
      <c r="M17" s="37" t="inlineStr">
        <is>
          <t>粗利÷売上</t>
        </is>
      </c>
    </row>
    <row r="18" ht="17.5" customHeight="1">
      <c r="A18" s="7" t="inlineStr">
        <is>
          <t>利用料の粗利率</t>
        </is>
      </c>
      <c r="B18" s="8" t="inlineStr">
        <is>
          <t>割合</t>
        </is>
      </c>
      <c r="C18" s="28">
        <f>IF('拠点と売上'!$C$16=0,0,1-$C$8/'拠点と売上'!$C$16)</f>
        <v>0</v>
      </c>
      <c r="D18" s="28">
        <f>IF('拠点と売上'!$D$16=0,0,1-$D$8/'拠点と売上'!$D$16)</f>
        <v>0.72</v>
      </c>
      <c r="E18" s="28">
        <f>IF('拠点と売上'!$E$16=0,0,1-$E$8/'拠点と売上'!$E$16)</f>
        <v>0.72</v>
      </c>
      <c r="F18" s="28">
        <f>IF('拠点と売上'!$F$16=0,0,1-$F$8/'拠点と売上'!$F$16)</f>
        <v>0.72</v>
      </c>
      <c r="G18" s="28">
        <f>IF('拠点と売上'!$G$16=0,0,1-$G$8/'拠点と売上'!$G$16)</f>
        <v>0.72</v>
      </c>
      <c r="H18" s="28">
        <f>IF('拠点と売上'!$H$16=0,0,1-$H$8/'拠点と売上'!$H$16)</f>
        <v>0.72</v>
      </c>
      <c r="I18" s="28">
        <f>IF('拠点と売上'!$I$16=0,0,1-$I$8/'拠点と売上'!$I$16)</f>
        <v>0.72</v>
      </c>
      <c r="J18" s="28">
        <f>IF('拠点と売上'!$J$16=0,0,1-$J$8/'拠点と売上'!$J$16)</f>
        <v>0.72</v>
      </c>
      <c r="K18" s="28">
        <f>IF('拠点と売上'!$K$16=0,0,1-$K$8/'拠点と売上'!$K$16)</f>
        <v>0.72</v>
      </c>
      <c r="L18" s="28">
        <f>IF('拠点と売上'!$L$16=0,0,1-$L$8/'拠点と売上'!$L$16)</f>
        <v>0.72</v>
      </c>
      <c r="M18" s="37" t="inlineStr">
        <is>
          <t>1−利用料の原価÷利用料（1年目は利用料がないので0）</t>
        </is>
      </c>
    </row>
    <row r="19" ht="19" customHeight="1">
      <c r="A19" s="3" t="inlineStr">
        <is>
          <t>販管費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17.5" customHeight="1">
      <c r="A20" s="7" t="inlineStr">
        <is>
          <t>人件費</t>
        </is>
      </c>
      <c r="B20" s="8" t="inlineStr">
        <is>
          <t>万円/年</t>
        </is>
      </c>
      <c r="C20" s="22">
        <f>'体制と人件費'!$C$48</f>
        <v>4236</v>
      </c>
      <c r="D20" s="22">
        <f>'体制と人件費'!$D$48</f>
        <v>6840</v>
      </c>
      <c r="E20" s="22">
        <f>'体制と人件費'!$E$48</f>
        <v>10044</v>
      </c>
      <c r="F20" s="22">
        <f>'体制と人件費'!$F$48</f>
        <v>14844</v>
      </c>
      <c r="G20" s="22">
        <f>'体制と人件費'!$G$48</f>
        <v>18684</v>
      </c>
      <c r="H20" s="22">
        <f>'体制と人件費'!$H$48</f>
        <v>19644</v>
      </c>
      <c r="I20" s="22">
        <f>'体制と人件費'!$I$48</f>
        <v>21924</v>
      </c>
      <c r="J20" s="22">
        <f>'体制と人件費'!$J$48</f>
        <v>23544</v>
      </c>
      <c r="K20" s="22">
        <f>'体制と人件費'!$K$48</f>
        <v>24384</v>
      </c>
      <c r="L20" s="22">
        <f>'体制と人件費'!$L$48</f>
        <v>26124</v>
      </c>
      <c r="M20" s="37" t="inlineStr">
        <is>
          <t>体制と人件費</t>
        </is>
      </c>
    </row>
    <row r="21" ht="17.5" customHeight="1">
      <c r="A21" s="7" t="inlineStr">
        <is>
          <t>原価への振替</t>
        </is>
      </c>
      <c r="B21" s="8" t="inlineStr">
        <is>
          <t>万円/年</t>
        </is>
      </c>
      <c r="C21" s="53">
        <f>$C$9+$C$12</f>
        <v>778</v>
      </c>
      <c r="D21" s="53">
        <f>$D$9+$D$12</f>
        <v>1634</v>
      </c>
      <c r="E21" s="53">
        <f>$E$9+$E$12</f>
        <v>3001.33333333333</v>
      </c>
      <c r="F21" s="53">
        <f>$F$9+$F$12</f>
        <v>3768.66666666667</v>
      </c>
      <c r="G21" s="53">
        <f>$G$9+$G$12</f>
        <v>4791.33333333333</v>
      </c>
      <c r="H21" s="53">
        <f>$H$9+$H$12</f>
        <v>5202.66666666667</v>
      </c>
      <c r="I21" s="53">
        <f>$I$9+$I$12</f>
        <v>5521.33333333333</v>
      </c>
      <c r="J21" s="53">
        <f>$J$9+$J$12</f>
        <v>5840</v>
      </c>
      <c r="K21" s="53">
        <f>$K$9+$K$12</f>
        <v>5906.66666666667</v>
      </c>
      <c r="L21" s="53">
        <f>$L$9+$L$12</f>
        <v>5973.33333333333</v>
      </c>
      <c r="M21" s="37" t="inlineStr">
        <is>
          <t>導入支援の人件費＋個社設定の人件費（販管費から引く）</t>
        </is>
      </c>
    </row>
    <row r="22" ht="17.5" customHeight="1">
      <c r="A22" s="7" t="inlineStr">
        <is>
          <t>採用費</t>
        </is>
      </c>
      <c r="B22" s="8" t="inlineStr">
        <is>
          <t>万円/年</t>
        </is>
      </c>
      <c r="C22" s="53">
        <f>'体制と人件費'!$C$49</f>
        <v>529.5</v>
      </c>
      <c r="D22" s="53">
        <f>'体制と人件費'!$D$49</f>
        <v>307.5</v>
      </c>
      <c r="E22" s="53">
        <f>'体制と人件費'!$E$49</f>
        <v>382.5</v>
      </c>
      <c r="F22" s="53">
        <f>'体制と人件費'!$F$49</f>
        <v>600</v>
      </c>
      <c r="G22" s="53">
        <f>'体制と人件費'!$G$49</f>
        <v>480</v>
      </c>
      <c r="H22" s="53">
        <f>'体制と人件費'!$H$49</f>
        <v>120</v>
      </c>
      <c r="I22" s="53">
        <f>'体制と人件費'!$I$49</f>
        <v>285</v>
      </c>
      <c r="J22" s="53">
        <f>'体制と人件費'!$J$49</f>
        <v>202.5</v>
      </c>
      <c r="K22" s="53">
        <f>'体制と人件費'!$K$49</f>
        <v>105</v>
      </c>
      <c r="L22" s="53">
        <f>'体制と人件費'!$L$49</f>
        <v>217.5</v>
      </c>
      <c r="M22" s="37" t="inlineStr">
        <is>
          <t>体制と人件費</t>
        </is>
      </c>
    </row>
    <row r="23" ht="31" customHeight="1">
      <c r="A23" s="7" t="inlineStr">
        <is>
          <t>その他の経費（7項目）</t>
        </is>
      </c>
      <c r="B23" s="8" t="inlineStr">
        <is>
          <t>万円/年</t>
        </is>
      </c>
      <c r="C23" s="22">
        <f>'前提'!$E$126+'前提'!$E$127+'前提'!$E$128+'前提'!$E$129+'前提'!$E$130+'前提'!$E$131+'前提'!$E$132</f>
        <v>990</v>
      </c>
      <c r="D23" s="22">
        <f>'前提'!$F$126+'前提'!$F$127+'前提'!$F$128+'前提'!$F$129+'前提'!$F$130+'前提'!$F$131+'前提'!$F$132</f>
        <v>1470</v>
      </c>
      <c r="E23" s="22">
        <f>'前提'!$G$126+'前提'!$G$127+'前提'!$G$128+'前提'!$G$129+'前提'!$G$130+'前提'!$G$131+'前提'!$G$132</f>
        <v>1840</v>
      </c>
      <c r="F23" s="22">
        <f>'前提'!$H$126+'前提'!$H$127+'前提'!$H$128+'前提'!$H$129+'前提'!$H$130+'前提'!$H$131+'前提'!$H$132</f>
        <v>2310</v>
      </c>
      <c r="G23" s="22">
        <f>'前提'!$I$126+'前提'!$I$127+'前提'!$I$128+'前提'!$I$129+'前提'!$I$130+'前提'!$I$131+'前提'!$I$132</f>
        <v>2760</v>
      </c>
      <c r="H23" s="22">
        <f>'前提'!$J$126+'前提'!$J$127+'前提'!$J$128+'前提'!$J$129+'前提'!$J$130+'前提'!$J$131+'前提'!$J$132</f>
        <v>2850</v>
      </c>
      <c r="I23" s="22">
        <f>'前提'!$K$126+'前提'!$K$127+'前提'!$K$128+'前提'!$K$129+'前提'!$K$130+'前提'!$K$131+'前提'!$K$132</f>
        <v>3130</v>
      </c>
      <c r="J23" s="22">
        <f>'前提'!$L$126+'前提'!$L$127+'前提'!$L$128+'前提'!$L$129+'前提'!$L$130+'前提'!$L$131+'前提'!$L$132</f>
        <v>3340</v>
      </c>
      <c r="K23" s="22">
        <f>'前提'!$M$126+'前提'!$M$127+'前提'!$M$128+'前提'!$M$129+'前提'!$M$130+'前提'!$M$131+'前提'!$M$132</f>
        <v>3580</v>
      </c>
      <c r="L23" s="22">
        <f>'前提'!$N$126+'前提'!$N$127+'前提'!$N$128+'前提'!$N$129+'前提'!$N$130+'前提'!$N$131+'前提'!$N$132</f>
        <v>3690</v>
      </c>
      <c r="M23" s="37" t="inlineStr">
        <is>
          <t>オフィス＋広告＋交通費＋端末・ソフト＋専門家＋雑費＋AIの学習費（前提7-9〜7-15）</t>
        </is>
      </c>
    </row>
    <row r="24" ht="17.5" customHeight="1">
      <c r="A24" s="7" t="inlineStr">
        <is>
          <t>社外顧問</t>
        </is>
      </c>
      <c r="B24" s="8" t="inlineStr">
        <is>
          <t>万円/年</t>
        </is>
      </c>
      <c r="C24" s="22">
        <f>'前提'!$E$115</f>
        <v>180</v>
      </c>
      <c r="D24" s="22">
        <f>'前提'!$E$115</f>
        <v>180</v>
      </c>
      <c r="E24" s="22">
        <f>'前提'!$E$115</f>
        <v>180</v>
      </c>
      <c r="F24" s="22">
        <f>'前提'!$E$115</f>
        <v>180</v>
      </c>
      <c r="G24" s="22">
        <f>'前提'!$E$115</f>
        <v>180</v>
      </c>
      <c r="H24" s="22">
        <f>'前提'!$E$115</f>
        <v>180</v>
      </c>
      <c r="I24" s="22">
        <f>'前提'!$E$115</f>
        <v>180</v>
      </c>
      <c r="J24" s="22">
        <f>'前提'!$E$115</f>
        <v>180</v>
      </c>
      <c r="K24" s="22">
        <f>'前提'!$E$115</f>
        <v>180</v>
      </c>
      <c r="L24" s="22">
        <f>'前提'!$E$115</f>
        <v>180</v>
      </c>
      <c r="M24" s="37" t="inlineStr">
        <is>
          <t>月15万円×12</t>
        </is>
      </c>
    </row>
    <row r="25" ht="17.5" customHeight="1">
      <c r="A25" s="6" t="inlineStr">
        <is>
          <t>販管費</t>
        </is>
      </c>
      <c r="B25" s="8" t="inlineStr">
        <is>
          <t>万円/年</t>
        </is>
      </c>
      <c r="C25" s="55">
        <f>$C$20-$C$21+$C$22+$C$23+$C$24</f>
        <v>5157.5</v>
      </c>
      <c r="D25" s="55">
        <f>$D$20-$D$21+$D$22+$D$23+$D$24</f>
        <v>7163.5</v>
      </c>
      <c r="E25" s="55">
        <f>$E$20-$E$21+$E$22+$E$23+$E$24</f>
        <v>9445.16666666667</v>
      </c>
      <c r="F25" s="55">
        <f>$F$20-$F$21+$F$22+$F$23+$F$24</f>
        <v>14165.3333333333</v>
      </c>
      <c r="G25" s="55">
        <f>$G$20-$G$21+$G$22+$G$23+$G$24</f>
        <v>17312.6666666667</v>
      </c>
      <c r="H25" s="55">
        <f>$H$20-$H$21+$H$22+$H$23+$H$24</f>
        <v>17591.3333333333</v>
      </c>
      <c r="I25" s="55">
        <f>$I$20-$I$21+$I$22+$I$23+$I$24</f>
        <v>19997.6666666667</v>
      </c>
      <c r="J25" s="55">
        <f>$J$20-$J$21+$J$22+$J$23+$J$24</f>
        <v>21426.5</v>
      </c>
      <c r="K25" s="55">
        <f>$K$20-$K$21+$K$22+$K$23+$K$24</f>
        <v>22342.3333333333</v>
      </c>
      <c r="L25" s="55">
        <f>$L$20-$L$21+$L$22+$L$23+$L$24</f>
        <v>24238.1666666667</v>
      </c>
      <c r="M25" s="37" t="inlineStr">
        <is>
          <t>人件費−振替＋採用費＋その他＋顧問</t>
        </is>
      </c>
    </row>
    <row r="26" ht="19" customHeight="1">
      <c r="A26" s="3" t="inlineStr">
        <is>
          <t>営業利益と現金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17.5" customHeight="1">
      <c r="A27" s="6" t="inlineStr">
        <is>
          <t>営業利益</t>
        </is>
      </c>
      <c r="B27" s="8" t="inlineStr">
        <is>
          <t>万円/年</t>
        </is>
      </c>
      <c r="C27" s="55">
        <f>$C$16-$C$25</f>
        <v>-4843.5</v>
      </c>
      <c r="D27" s="55">
        <f>$D$16-$D$25</f>
        <v>-4762.5</v>
      </c>
      <c r="E27" s="55">
        <f>$E$16-$E$25</f>
        <v>-3696.5</v>
      </c>
      <c r="F27" s="55">
        <f>$F$16-$F$25</f>
        <v>-3857</v>
      </c>
      <c r="G27" s="55">
        <f>$G$16-$G$25</f>
        <v>-1117</v>
      </c>
      <c r="H27" s="55">
        <f>$H$16-$H$25</f>
        <v>4522</v>
      </c>
      <c r="I27" s="55">
        <f>$I$16-$I$25</f>
        <v>7883</v>
      </c>
      <c r="J27" s="55">
        <f>$J$16-$J$25</f>
        <v>12005.5</v>
      </c>
      <c r="K27" s="55">
        <f>$K$16-$K$25</f>
        <v>16307</v>
      </c>
      <c r="L27" s="55">
        <f>$L$16-$L$25</f>
        <v>18980.5</v>
      </c>
      <c r="M27" s="37" t="inlineStr">
        <is>
          <t>粗利−販管費</t>
        </is>
      </c>
    </row>
    <row r="28" ht="17.5" customHeight="1">
      <c r="A28" s="7" t="inlineStr">
        <is>
          <t>累計の営業損益</t>
        </is>
      </c>
      <c r="B28" s="8" t="inlineStr">
        <is>
          <t>万円</t>
        </is>
      </c>
      <c r="C28" s="53">
        <f>$C$27</f>
        <v>-4843.5</v>
      </c>
      <c r="D28" s="53">
        <f>$C$28+$D$27</f>
        <v>-9606</v>
      </c>
      <c r="E28" s="53">
        <f>$D$28+$E$27</f>
        <v>-13302.5</v>
      </c>
      <c r="F28" s="53">
        <f>$E$28+$F$27</f>
        <v>-17159.5</v>
      </c>
      <c r="G28" s="53">
        <f>$F$28+$G$27</f>
        <v>-18276.5</v>
      </c>
      <c r="H28" s="53">
        <f>$G$28+$H$27</f>
        <v>-13754.5</v>
      </c>
      <c r="I28" s="53">
        <f>$H$28+$I$27</f>
        <v>-5871.5</v>
      </c>
      <c r="J28" s="53">
        <f>$I$28+$J$27</f>
        <v>6134</v>
      </c>
      <c r="K28" s="53">
        <f>$J$28+$K$27</f>
        <v>22441</v>
      </c>
      <c r="L28" s="53">
        <f>$K$28+$L$27</f>
        <v>41421.5</v>
      </c>
      <c r="M28" s="37" t="inlineStr">
        <is>
          <t>前の年の累計＋その年の営業利益</t>
        </is>
      </c>
    </row>
    <row r="29" ht="17.5" customHeight="1">
      <c r="A29" s="7" t="inlineStr">
        <is>
          <t>資金投入</t>
        </is>
      </c>
      <c r="B29" s="8" t="inlineStr">
        <is>
          <t>万円/年</t>
        </is>
      </c>
      <c r="C29" s="22">
        <f>'前提'!$E$133</f>
        <v>20000</v>
      </c>
      <c r="D29" s="22">
        <f>'前提'!$F$133</f>
        <v>0</v>
      </c>
      <c r="E29" s="22">
        <f>'前提'!$G$133</f>
        <v>5000</v>
      </c>
      <c r="F29" s="22">
        <f>'前提'!$H$133</f>
        <v>0</v>
      </c>
      <c r="G29" s="22">
        <f>'前提'!$I$133</f>
        <v>0</v>
      </c>
      <c r="H29" s="22">
        <f>'前提'!$J$133</f>
        <v>0</v>
      </c>
      <c r="I29" s="22">
        <f>'前提'!$K$133</f>
        <v>0</v>
      </c>
      <c r="J29" s="22">
        <f>'前提'!$L$133</f>
        <v>0</v>
      </c>
      <c r="K29" s="22">
        <f>'前提'!$M$133</f>
        <v>0</v>
      </c>
      <c r="L29" s="22">
        <f>'前提'!$N$133</f>
        <v>0</v>
      </c>
      <c r="M29" s="37" t="inlineStr">
        <is>
          <t>前提7-16（準備期の500万円は別）</t>
        </is>
      </c>
    </row>
    <row r="30" ht="17.5" customHeight="1">
      <c r="A30" s="6" t="inlineStr">
        <is>
          <t>期末の現金</t>
        </is>
      </c>
      <c r="B30" s="8" t="inlineStr">
        <is>
          <t>万円</t>
        </is>
      </c>
      <c r="C30" s="55">
        <f>'前提'!$E$136+$C$29+$C$27</f>
        <v>15156.5</v>
      </c>
      <c r="D30" s="55">
        <f>$C$30+$D$29+$D$27</f>
        <v>10394</v>
      </c>
      <c r="E30" s="55">
        <f>$D$30+$E$29+$E$27</f>
        <v>11697.5</v>
      </c>
      <c r="F30" s="55">
        <f>$E$30+$F$29+$F$27</f>
        <v>7840.5</v>
      </c>
      <c r="G30" s="55">
        <f>$F$30+$G$29+$G$27</f>
        <v>6723.5</v>
      </c>
      <c r="H30" s="55">
        <f>$G$30+$H$29+$H$27</f>
        <v>11245.5</v>
      </c>
      <c r="I30" s="55">
        <f>$H$30+$I$29+$I$27</f>
        <v>19128.5</v>
      </c>
      <c r="J30" s="55">
        <f>$I$30+$J$29+$J$27</f>
        <v>31134</v>
      </c>
      <c r="K30" s="55">
        <f>$J$30+$K$29+$K$27</f>
        <v>47441</v>
      </c>
      <c r="L30" s="55">
        <f>$K$30+$L$29+$L$27</f>
        <v>66421.5</v>
      </c>
      <c r="M30" s="37" t="inlineStr">
        <is>
          <t>前の年の現金＋資金投入＋営業利益。1年目は期首0から</t>
        </is>
      </c>
    </row>
    <row r="31" ht="17.5" customHeight="1">
      <c r="A31" s="7" t="inlineStr">
        <is>
          <t>（営業利益が黒字の年）</t>
        </is>
      </c>
      <c r="B31" s="8" t="inlineStr">
        <is>
          <t>年目</t>
        </is>
      </c>
      <c r="C31" s="57" t="str">
        <f>IF($C$27&gt;0,C$3,"")</f>
        <v/>
      </c>
      <c r="D31" s="57" t="str">
        <f>IF($D$27&gt;0,D$3,"")</f>
        <v/>
      </c>
      <c r="E31" s="57" t="str">
        <f>IF($E$27&gt;0,E$3,"")</f>
        <v/>
      </c>
      <c r="F31" s="57" t="str">
        <f>IF($F$27&gt;0,F$3,"")</f>
        <v/>
      </c>
      <c r="G31" s="57" t="str">
        <f>IF($G$27&gt;0,G$3,"")</f>
        <v/>
      </c>
      <c r="H31" s="57">
        <f>IF($H$27&gt;0,H$3,"")</f>
        <v>6</v>
      </c>
      <c r="I31" s="57">
        <f>IF($I$27&gt;0,I$3,"")</f>
        <v>7</v>
      </c>
      <c r="J31" s="57">
        <f>IF($J$27&gt;0,J$3,"")</f>
        <v>8</v>
      </c>
      <c r="K31" s="57">
        <f>IF($K$27&gt;0,K$3,"")</f>
        <v>9</v>
      </c>
      <c r="L31" s="57">
        <f>IF($L$27&gt;0,L$3,"")</f>
        <v>10</v>
      </c>
      <c r="M31" s="37" t="inlineStr">
        <is>
          <t>黒字なら年の番号、赤字なら空</t>
        </is>
      </c>
    </row>
    <row r="32" ht="17.5" customHeight="1">
      <c r="A32" s="7" t="inlineStr">
        <is>
          <t>（累計が黒字の年）</t>
        </is>
      </c>
      <c r="B32" s="8" t="inlineStr">
        <is>
          <t>年目</t>
        </is>
      </c>
      <c r="C32" s="57" t="str">
        <f>IF($C$28&gt;0,C$3,"")</f>
        <v/>
      </c>
      <c r="D32" s="57" t="str">
        <f>IF($D$28&gt;0,D$3,"")</f>
        <v/>
      </c>
      <c r="E32" s="57" t="str">
        <f>IF($E$28&gt;0,E$3,"")</f>
        <v/>
      </c>
      <c r="F32" s="57" t="str">
        <f>IF($F$28&gt;0,F$3,"")</f>
        <v/>
      </c>
      <c r="G32" s="57" t="str">
        <f>IF($G$28&gt;0,G$3,"")</f>
        <v/>
      </c>
      <c r="H32" s="57" t="str">
        <f>IF($H$28&gt;0,H$3,"")</f>
        <v/>
      </c>
      <c r="I32" s="57" t="str">
        <f>IF($I$28&gt;0,I$3,"")</f>
        <v/>
      </c>
      <c r="J32" s="57">
        <f>IF($J$28&gt;0,J$3,"")</f>
        <v>8</v>
      </c>
      <c r="K32" s="57">
        <f>IF($K$28&gt;0,K$3,"")</f>
        <v>9</v>
      </c>
      <c r="L32" s="57">
        <f>IF($L$28&gt;0,L$3,"")</f>
        <v>10</v>
      </c>
      <c r="M32" s="37" t="inlineStr">
        <is>
          <t>累計が黒字なら年の番号</t>
        </is>
      </c>
    </row>
    <row r="33" ht="19" customHeight="1">
      <c r="A33" s="3" t="inlineStr">
        <is>
          <t>結果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17.5" customHeight="1">
      <c r="A34" s="6" t="inlineStr">
        <is>
          <t>黒字化の年（10年で）</t>
        </is>
      </c>
      <c r="B34" s="33" t="inlineStr">
        <is>
          <t>年目</t>
        </is>
      </c>
      <c r="C34" s="58">
        <f>IF(COUNT($C$31:$L$31)=0,"10年でなし",MIN($C$31:$L$31))</f>
        <v>6</v>
      </c>
      <c r="D34" s="37" t="inlineStr">
        <is>
          <t>営業利益が初めて黒字になる年</t>
        </is>
      </c>
    </row>
    <row r="35" ht="17.5" customHeight="1">
      <c r="A35" s="6" t="inlineStr">
        <is>
          <t>黒字化の年（5年で）</t>
        </is>
      </c>
      <c r="B35" s="33" t="inlineStr">
        <is>
          <t>年目</t>
        </is>
      </c>
      <c r="C35" s="58" t="str">
        <f>IF(COUNT($C$31:$G$31)=0,"5年でなし",MIN($C$31:$G$31))</f>
        <v>5年でなし</v>
      </c>
      <c r="D35" s="37" t="inlineStr">
        <is>
          <t>1〜5年目だけで見た場合</t>
        </is>
      </c>
    </row>
    <row r="36" ht="17.5" customHeight="1">
      <c r="A36" s="6" t="inlineStr">
        <is>
          <t>累計回収の年（10年で）</t>
        </is>
      </c>
      <c r="B36" s="33" t="inlineStr">
        <is>
          <t>年目</t>
        </is>
      </c>
      <c r="C36" s="58">
        <f>IF(COUNT($C$32:$L$32)=0,"10年でなし",MIN($C$32:$L$32))</f>
        <v>8</v>
      </c>
      <c r="D36" s="37" t="inlineStr">
        <is>
          <t>累計の営業損益が初めて黒字になる年</t>
        </is>
      </c>
    </row>
    <row r="37" ht="17.5" customHeight="1">
      <c r="A37" s="6" t="inlineStr">
        <is>
          <t>最低の現金（10年）</t>
        </is>
      </c>
      <c r="B37" s="33" t="inlineStr">
        <is>
          <t>万円</t>
        </is>
      </c>
      <c r="C37" s="50">
        <f>MIN($C$30:$L$30)</f>
        <v>6723.5</v>
      </c>
      <c r="D37" s="37" t="inlineStr">
        <is>
          <t>期末の現金のいちばん低い値</t>
        </is>
      </c>
    </row>
    <row r="38" ht="17.5" customHeight="1">
      <c r="A38" s="6" t="inlineStr">
        <is>
          <t>最低の現金の年</t>
        </is>
      </c>
      <c r="B38" s="33" t="inlineStr">
        <is>
          <t>年目</t>
        </is>
      </c>
      <c r="C38" s="58">
        <f>INDEX($C$3:$L$3,1,MATCH($C$37,$C$30:$L$30,0))</f>
        <v>5</v>
      </c>
      <c r="D38" s="37" t="inlineStr"/>
    </row>
    <row r="39" ht="17.5" customHeight="1">
      <c r="A39" s="6" t="inlineStr">
        <is>
          <t>最低の現金（5年）</t>
        </is>
      </c>
      <c r="B39" s="33" t="inlineStr">
        <is>
          <t>万円</t>
        </is>
      </c>
      <c r="C39" s="50">
        <f>MIN($C$30:$G$30)</f>
        <v>6723.5</v>
      </c>
      <c r="D39" s="37" t="inlineStr">
        <is>
          <t>1〜5年目</t>
        </is>
      </c>
    </row>
    <row r="40" ht="17.5" customHeight="1">
      <c r="A40" s="6" t="inlineStr">
        <is>
          <t>累計赤字の底</t>
        </is>
      </c>
      <c r="B40" s="33" t="inlineStr">
        <is>
          <t>万円</t>
        </is>
      </c>
      <c r="C40" s="50">
        <f>MIN($C$28:$L$28)</f>
        <v>-18276.5</v>
      </c>
      <c r="D40" s="37" t="inlineStr">
        <is>
          <t>累計の営業損益のいちばん低い値</t>
        </is>
      </c>
    </row>
    <row r="41" ht="17.5" customHeight="1">
      <c r="A41" s="2" t="inlineStr">
        <is>
          <t>注：簡易計算で、運転資本（売掛・前受）・税・償却を含まない。黒字化の年は緑、マイナスは赤（▲）で示す。</t>
        </is>
      </c>
    </row>
  </sheetData>
  <mergeCells count="9">
    <mergeCell ref="D37:M37"/>
    <mergeCell ref="D40:M40"/>
    <mergeCell ref="D35:M35"/>
    <mergeCell ref="D36:M36"/>
    <mergeCell ref="D39:M39"/>
    <mergeCell ref="D34:M34"/>
    <mergeCell ref="A41:M41"/>
    <mergeCell ref="A2:M2"/>
    <mergeCell ref="D38:M38"/>
  </mergeCells>
  <conditionalFormatting sqref="C34">
    <cfRule type="expression" priority="1" dxfId="1">
      <formula>ISNUMBER(C34)</formula>
    </cfRule>
    <cfRule type="expression" priority="2" dxfId="2">
      <formula>NOT(ISNUMBER(C34))</formula>
    </cfRule>
  </conditionalFormatting>
  <conditionalFormatting sqref="C35">
    <cfRule type="expression" priority="3" dxfId="1">
      <formula>ISNUMBER(C35)</formula>
    </cfRule>
    <cfRule type="expression" priority="4" dxfId="2">
      <formula>NOT(ISNUMBER(C35))</formula>
    </cfRule>
  </conditionalFormatting>
  <conditionalFormatting sqref="C36">
    <cfRule type="expression" priority="5" dxfId="1">
      <formula>ISNUMBER(C36)</formula>
    </cfRule>
    <cfRule type="expression" priority="6" dxfId="2">
      <formula>NOT(ISNUMBER(C36))</formula>
    </cfRule>
  </conditionalFormatting>
  <conditionalFormatting sqref="C27:L27">
    <cfRule type="expression" priority="7" dxfId="3">
      <formula>AND(C27&gt;0,COUNTIF($C27:C27,"&gt;0")=1)</formula>
    </cfRule>
  </conditionalFormatting>
  <conditionalFormatting sqref="C4:L42">
    <cfRule type="cellIs" priority="8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0" customWidth="1" min="13" max="13"/>
  </cols>
  <sheetData>
    <row r="1" ht="24" customHeight="1">
      <c r="A1" s="1" t="inlineStr">
        <is>
          <t>黒字ライン：その年の体制で何拠点・何台あれば黒字か</t>
        </is>
      </c>
    </row>
    <row r="2" ht="17.5" customHeight="1">
      <c r="A2" s="2" t="inlineStr">
        <is>
          <t>損益分岐点売上＝販管費÷粗利率。必要な拠点＝(販管費−サービスの粗利)÷1拠点の利用料の粗利216万円（拠点は通年で課金するとして）（計算詳細版 p.19・22）。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" t="inlineStr">
        <is>
          <t>式（言葉）</t>
        </is>
      </c>
    </row>
    <row r="4" ht="19" customHeight="1">
      <c r="A4" s="3" t="inlineStr">
        <is>
          <t>売上で見る（損益分岐点売上＝販管費÷粗利率）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7.5" customHeight="1">
      <c r="A5" s="7" t="inlineStr">
        <is>
          <t>販管費</t>
        </is>
      </c>
      <c r="B5" s="8" t="inlineStr">
        <is>
          <t>万円/年</t>
        </is>
      </c>
      <c r="C5" s="53">
        <f>'損益と現金'!$C$25</f>
        <v>5157.5</v>
      </c>
      <c r="D5" s="53">
        <f>'損益と現金'!$D$25</f>
        <v>7163.5</v>
      </c>
      <c r="E5" s="53">
        <f>'損益と現金'!$E$25</f>
        <v>9445.16666666667</v>
      </c>
      <c r="F5" s="53">
        <f>'損益と現金'!$F$25</f>
        <v>14165.3333333333</v>
      </c>
      <c r="G5" s="53">
        <f>'損益と現金'!$G$25</f>
        <v>17312.6666666667</v>
      </c>
      <c r="H5" s="53">
        <f>'損益と現金'!$H$25</f>
        <v>17591.3333333333</v>
      </c>
      <c r="I5" s="53">
        <f>'損益と現金'!$I$25</f>
        <v>19997.6666666667</v>
      </c>
      <c r="J5" s="53">
        <f>'損益と現金'!$J$25</f>
        <v>21426.5</v>
      </c>
      <c r="K5" s="53">
        <f>'損益と現金'!$K$25</f>
        <v>22342.3333333333</v>
      </c>
      <c r="L5" s="53">
        <f>'損益と現金'!$L$25</f>
        <v>24238.1666666667</v>
      </c>
      <c r="M5" s="37" t="inlineStr">
        <is>
          <t>損益と現金</t>
        </is>
      </c>
    </row>
    <row r="6" ht="17.5" customHeight="1">
      <c r="A6" s="7" t="inlineStr">
        <is>
          <t>粗利率</t>
        </is>
      </c>
      <c r="B6" s="8" t="inlineStr">
        <is>
          <t>割合</t>
        </is>
      </c>
      <c r="C6" s="28">
        <f>'損益と現金'!$C$17</f>
        <v>0.261666666666667</v>
      </c>
      <c r="D6" s="28">
        <f>'損益と現金'!$D$17</f>
        <v>0.500208333333333</v>
      </c>
      <c r="E6" s="28">
        <f>'損益と現金'!$E$17</f>
        <v>0.537258566978193</v>
      </c>
      <c r="F6" s="28">
        <f>'損益と現金'!$F$17</f>
        <v>0.579119850187266</v>
      </c>
      <c r="G6" s="28">
        <f>'損益と現金'!$G$17</f>
        <v>0.602069392812887</v>
      </c>
      <c r="H6" s="28">
        <f>'損益と現金'!$H$17</f>
        <v>0.622910798122066</v>
      </c>
      <c r="I6" s="28">
        <f>'損益と現金'!$I$17</f>
        <v>0.636544901065449</v>
      </c>
      <c r="J6" s="28">
        <f>'損益と現金'!$J$17</f>
        <v>0.645405405405405</v>
      </c>
      <c r="K6" s="28">
        <f>'損益と現金'!$K$17</f>
        <v>0.653965031020868</v>
      </c>
      <c r="L6" s="28">
        <f>'損益と現金'!$L$17</f>
        <v>0.659826972010178</v>
      </c>
      <c r="M6" s="37" t="inlineStr">
        <is>
          <t>損益と現金</t>
        </is>
      </c>
    </row>
    <row r="7" ht="17.5" customHeight="1">
      <c r="A7" s="6" t="inlineStr">
        <is>
          <t>損益分岐点売上</t>
        </is>
      </c>
      <c r="B7" s="8" t="inlineStr">
        <is>
          <t>万円/年</t>
        </is>
      </c>
      <c r="C7" s="52">
        <f>$C$5/$C$6</f>
        <v>19710.1910828025</v>
      </c>
      <c r="D7" s="52">
        <f>$D$5/$D$6</f>
        <v>14321.0329029571</v>
      </c>
      <c r="E7" s="52">
        <f>$E$5/$E$6</f>
        <v>17580.2997796591</v>
      </c>
      <c r="F7" s="52">
        <f>$F$5/$F$6</f>
        <v>24460.1067097817</v>
      </c>
      <c r="G7" s="52">
        <f>$G$5/$G$6</f>
        <v>28755.2678700064</v>
      </c>
      <c r="H7" s="52">
        <f>$H$5/$H$6</f>
        <v>28240.5336147121</v>
      </c>
      <c r="I7" s="52">
        <f>$I$5/$I$6</f>
        <v>31415.9560986108</v>
      </c>
      <c r="J7" s="52">
        <f>$J$5/$J$6</f>
        <v>33198.513400335</v>
      </c>
      <c r="K7" s="52">
        <f>$K$5/$K$6</f>
        <v>34164.4159450788</v>
      </c>
      <c r="L7" s="52">
        <f>$L$5/$L$6</f>
        <v>36734.1253007959</v>
      </c>
      <c r="M7" s="37" t="inlineStr">
        <is>
          <t>販管費÷粗利率</t>
        </is>
      </c>
    </row>
    <row r="8" ht="17.5" customHeight="1">
      <c r="A8" s="7" t="inlineStr">
        <is>
          <t>実際の売上</t>
        </is>
      </c>
      <c r="B8" s="8" t="inlineStr">
        <is>
          <t>万円/年</t>
        </is>
      </c>
      <c r="C8" s="22">
        <f>'拠点と売上'!$C$22</f>
        <v>1200</v>
      </c>
      <c r="D8" s="22">
        <f>'拠点と売上'!$D$22</f>
        <v>4800</v>
      </c>
      <c r="E8" s="22">
        <f>'拠点と売上'!$E$22</f>
        <v>10700</v>
      </c>
      <c r="F8" s="22">
        <f>'拠点と売上'!$F$22</f>
        <v>17800</v>
      </c>
      <c r="G8" s="22">
        <f>'拠点と売上'!$G$22</f>
        <v>26900</v>
      </c>
      <c r="H8" s="22">
        <f>'拠点と売上'!$H$22</f>
        <v>35500</v>
      </c>
      <c r="I8" s="22">
        <f>'拠点と売上'!$I$22</f>
        <v>43800</v>
      </c>
      <c r="J8" s="22">
        <f>'拠点と売上'!$J$22</f>
        <v>51800</v>
      </c>
      <c r="K8" s="22">
        <f>'拠点と売上'!$K$22</f>
        <v>59100</v>
      </c>
      <c r="L8" s="22">
        <f>'拠点と売上'!$L$22</f>
        <v>65500</v>
      </c>
      <c r="M8" s="37" t="inlineStr">
        <is>
          <t>拠点と売上</t>
        </is>
      </c>
    </row>
    <row r="9" ht="17.5" customHeight="1">
      <c r="A9" s="7" t="inlineStr">
        <is>
          <t>分岐点に対する売上の割合</t>
        </is>
      </c>
      <c r="B9" s="8" t="inlineStr">
        <is>
          <t>割合</t>
        </is>
      </c>
      <c r="C9" s="30">
        <f>$C$8/$C$7</f>
        <v>0.0608822103732429</v>
      </c>
      <c r="D9" s="30">
        <f>$D$8/$D$7</f>
        <v>0.335171354784672</v>
      </c>
      <c r="E9" s="30">
        <f>$E$8/$E$7</f>
        <v>0.608635810202749</v>
      </c>
      <c r="F9" s="30">
        <f>$F$8/$F$7</f>
        <v>0.727715549698795</v>
      </c>
      <c r="G9" s="30">
        <f>$G$8/$G$7</f>
        <v>0.93548076552813</v>
      </c>
      <c r="H9" s="30">
        <f>$H$8/$H$7</f>
        <v>1.25705839996968</v>
      </c>
      <c r="I9" s="30">
        <f>$I$8/$I$7</f>
        <v>1.39419598953211</v>
      </c>
      <c r="J9" s="30">
        <f>$J$8/$J$7</f>
        <v>1.5603108300469</v>
      </c>
      <c r="K9" s="30">
        <f>$K$8/$K$7</f>
        <v>1.72987005236696</v>
      </c>
      <c r="L9" s="30">
        <f>$L$8/$L$7</f>
        <v>1.78308315397892</v>
      </c>
      <c r="M9" s="37" t="inlineStr">
        <is>
          <t>売上÷損益分岐点売上（100%以上で黒字）</t>
        </is>
      </c>
    </row>
    <row r="10" ht="17.5" customHeight="1">
      <c r="A10" s="7" t="inlineStr">
        <is>
          <t>安全余裕率</t>
        </is>
      </c>
      <c r="B10" s="8" t="inlineStr">
        <is>
          <t>割合</t>
        </is>
      </c>
      <c r="C10" s="30" t="str">
        <f>IF($C$8&gt;$C$7,1-$C$7/$C$8,"─")</f>
        <v>─</v>
      </c>
      <c r="D10" s="30" t="str">
        <f>IF($D$8&gt;$D$7,1-$D$7/$D$8,"─")</f>
        <v>─</v>
      </c>
      <c r="E10" s="30" t="str">
        <f>IF($E$8&gt;$E$7,1-$E$7/$E$8,"─")</f>
        <v>─</v>
      </c>
      <c r="F10" s="30" t="str">
        <f>IF($F$8&gt;$F$7,1-$F$7/$F$8,"─")</f>
        <v>─</v>
      </c>
      <c r="G10" s="30" t="str">
        <f>IF($G$8&gt;$G$7,1-$G$7/$G$8,"─")</f>
        <v>─</v>
      </c>
      <c r="H10" s="30">
        <f>IF($H$8&gt;$H$7,1-$H$7/$H$8,"─")</f>
        <v>0.204492010853181</v>
      </c>
      <c r="I10" s="30">
        <f>IF($I$8&gt;$I$7,1-$I$7/$I$8,"─")</f>
        <v>0.28274072834222</v>
      </c>
      <c r="J10" s="30">
        <f>IF($J$8&gt;$J$7,1-$J$7/$J$8,"─")</f>
        <v>0.359102057908591</v>
      </c>
      <c r="K10" s="30">
        <f>IF($K$8&gt;$K$7,1-$K$7/$K$8,"─")</f>
        <v>0.421921896022355</v>
      </c>
      <c r="L10" s="30">
        <f>IF($L$8&gt;$L$7,1-$L$7/$L$8,"─")</f>
        <v>0.439173659529833</v>
      </c>
      <c r="M10" s="37" t="inlineStr">
        <is>
          <t>(売上−分岐点売上)÷売上。赤字の年は「─」</t>
        </is>
      </c>
    </row>
    <row r="11" ht="19" customHeight="1">
      <c r="A11" s="3" t="inlineStr">
        <is>
          <t>人で見る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17.5" customHeight="1">
      <c r="A12" s="7" t="inlineStr">
        <is>
          <t>社員数</t>
        </is>
      </c>
      <c r="B12" s="8" t="inlineStr">
        <is>
          <t>人</t>
        </is>
      </c>
      <c r="C12" s="22">
        <f>'体制と人件費'!$C$46</f>
        <v>5</v>
      </c>
      <c r="D12" s="22">
        <f>'体制と人件費'!$D$46</f>
        <v>8</v>
      </c>
      <c r="E12" s="22">
        <f>'体制と人件費'!$E$46</f>
        <v>12</v>
      </c>
      <c r="F12" s="22">
        <f>'体制と人件費'!$F$46</f>
        <v>18</v>
      </c>
      <c r="G12" s="22">
        <f>'体制と人件費'!$G$46</f>
        <v>23</v>
      </c>
      <c r="H12" s="22">
        <f>'体制と人件費'!$H$46</f>
        <v>24</v>
      </c>
      <c r="I12" s="22">
        <f>'体制と人件費'!$I$46</f>
        <v>27</v>
      </c>
      <c r="J12" s="22">
        <f>'体制と人件費'!$J$46</f>
        <v>29</v>
      </c>
      <c r="K12" s="22">
        <f>'体制と人件費'!$K$46</f>
        <v>30</v>
      </c>
      <c r="L12" s="22">
        <f>'体制と人件費'!$L$46</f>
        <v>32</v>
      </c>
      <c r="M12" s="37" t="inlineStr">
        <is>
          <t>体制と人件費（採用連動の後）</t>
        </is>
      </c>
    </row>
    <row r="13" ht="17.5" customHeight="1">
      <c r="A13" s="7" t="inlineStr">
        <is>
          <t>期末の拠点</t>
        </is>
      </c>
      <c r="B13" s="8" t="inlineStr">
        <is>
          <t>拠点</t>
        </is>
      </c>
      <c r="C13" s="22">
        <f>'拠点と売上'!$C$9</f>
        <v>3</v>
      </c>
      <c r="D13" s="22">
        <f>'拠点と売上'!$D$9</f>
        <v>12</v>
      </c>
      <c r="E13" s="22">
        <f>'拠点と売上'!$E$9</f>
        <v>29</v>
      </c>
      <c r="F13" s="22">
        <f>'拠点と売上'!$F$9</f>
        <v>53</v>
      </c>
      <c r="G13" s="22">
        <f>'拠点と売上'!$G$9</f>
        <v>81</v>
      </c>
      <c r="H13" s="22">
        <f>'拠点と売上'!$H$9</f>
        <v>109</v>
      </c>
      <c r="I13" s="22">
        <f>'拠点と売上'!$I$9</f>
        <v>136</v>
      </c>
      <c r="J13" s="22">
        <f>'拠点と売上'!$J$9</f>
        <v>162</v>
      </c>
      <c r="K13" s="22">
        <f>'拠点と売上'!$K$9</f>
        <v>186</v>
      </c>
      <c r="L13" s="22">
        <f>'拠点と売上'!$L$9</f>
        <v>207</v>
      </c>
      <c r="M13" s="37" t="inlineStr">
        <is>
          <t>拠点と売上</t>
        </is>
      </c>
    </row>
    <row r="14" ht="17.5" customHeight="1">
      <c r="A14" s="6" t="inlineStr">
        <is>
          <t>社員1人あたりの拠点</t>
        </is>
      </c>
      <c r="B14" s="8" t="inlineStr">
        <is>
          <t>拠点/人</t>
        </is>
      </c>
      <c r="C14" s="59">
        <f>$C$13/$C$12</f>
        <v>0.6</v>
      </c>
      <c r="D14" s="59">
        <f>$D$13/$D$12</f>
        <v>1.5</v>
      </c>
      <c r="E14" s="59">
        <f>$E$13/$E$12</f>
        <v>2.41666666666667</v>
      </c>
      <c r="F14" s="59">
        <f>$F$13/$F$12</f>
        <v>2.94444444444444</v>
      </c>
      <c r="G14" s="59">
        <f>$G$13/$G$12</f>
        <v>3.52173913043478</v>
      </c>
      <c r="H14" s="59">
        <f>$H$13/$H$12</f>
        <v>4.54166666666667</v>
      </c>
      <c r="I14" s="59">
        <f>$I$13/$I$12</f>
        <v>5.03703703703704</v>
      </c>
      <c r="J14" s="59">
        <f>$J$13/$J$12</f>
        <v>5.58620689655172</v>
      </c>
      <c r="K14" s="59">
        <f>$K$13/$K$12</f>
        <v>6.2</v>
      </c>
      <c r="L14" s="59">
        <f>$L$13/$L$12</f>
        <v>6.46875</v>
      </c>
      <c r="M14" s="37" t="inlineStr">
        <is>
          <t>期末の拠点÷社員数</t>
        </is>
      </c>
    </row>
    <row r="15" ht="17.5" customHeight="1">
      <c r="A15" s="7" t="inlineStr">
        <is>
          <t>社員1人あたりの販管費</t>
        </is>
      </c>
      <c r="B15" s="8" t="inlineStr">
        <is>
          <t>万円/人</t>
        </is>
      </c>
      <c r="C15" s="22">
        <f>$C$5/$C$12</f>
        <v>1031.5</v>
      </c>
      <c r="D15" s="22">
        <f>$D$5/$D$12</f>
        <v>895.4375</v>
      </c>
      <c r="E15" s="22">
        <f>$E$5/$E$12</f>
        <v>787.097222222222</v>
      </c>
      <c r="F15" s="22">
        <f>$F$5/$F$12</f>
        <v>786.962962962963</v>
      </c>
      <c r="G15" s="22">
        <f>$G$5/$G$12</f>
        <v>752.72463768116</v>
      </c>
      <c r="H15" s="22">
        <f>$H$5/$H$12</f>
        <v>732.972222222222</v>
      </c>
      <c r="I15" s="22">
        <f>$I$5/$I$12</f>
        <v>740.654320987654</v>
      </c>
      <c r="J15" s="22">
        <f>$J$5/$J$12</f>
        <v>738.844827586207</v>
      </c>
      <c r="K15" s="22">
        <f>$K$5/$K$12</f>
        <v>744.744444444444</v>
      </c>
      <c r="L15" s="22">
        <f>$L$5/$L$12</f>
        <v>757.442708333333</v>
      </c>
      <c r="M15" s="37" t="inlineStr">
        <is>
          <t>販管費÷社員数</t>
        </is>
      </c>
    </row>
    <row r="16" ht="31" customHeight="1">
      <c r="A16" s="7" t="inlineStr">
        <is>
          <t>社員1人あたりに要る課金拠点</t>
        </is>
      </c>
      <c r="B16" s="8" t="inlineStr">
        <is>
          <t>拠点/人</t>
        </is>
      </c>
      <c r="C16" s="24">
        <f>$C$15/'値段と原価'!$C$15</f>
        <v>4.77546296296296</v>
      </c>
      <c r="D16" s="24">
        <f>$D$15/'値段と原価'!$C$15</f>
        <v>4.14554398148148</v>
      </c>
      <c r="E16" s="24">
        <f>$E$15/'値段と原価'!$C$15</f>
        <v>3.64396862139918</v>
      </c>
      <c r="F16" s="24">
        <f>$F$15/'値段と原価'!$C$15</f>
        <v>3.64334705075446</v>
      </c>
      <c r="G16" s="24">
        <f>$G$15/'値段と原価'!$C$15</f>
        <v>3.48483628556092</v>
      </c>
      <c r="H16" s="24">
        <f>$H$15/'値段と原価'!$C$15</f>
        <v>3.39338991769547</v>
      </c>
      <c r="I16" s="24">
        <f>$I$15/'値段と原価'!$C$15</f>
        <v>3.42895518975766</v>
      </c>
      <c r="J16" s="24">
        <f>$J$15/'値段と原価'!$C$15</f>
        <v>3.4205779054917</v>
      </c>
      <c r="K16" s="24">
        <f>$K$15/'値段と原価'!$C$15</f>
        <v>3.44789094650206</v>
      </c>
      <c r="L16" s="24">
        <f>$L$15/'値段と原価'!$C$15</f>
        <v>3.50667920524691</v>
      </c>
      <c r="M16" s="37" t="inlineStr">
        <is>
          <t>社員1人の販管費÷1拠点の利用料の粗利（新規は初年度半額なので期末ではもっと要る）</t>
        </is>
      </c>
    </row>
    <row r="17" ht="19" customHeight="1">
      <c r="A17" s="3" t="inlineStr">
        <is>
          <t>その年の体制で黒字に必要な拠点（通年で課金する拠点として）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17.5" customHeight="1">
      <c r="A18" s="7" t="inlineStr">
        <is>
          <t>サービスの粗利</t>
        </is>
      </c>
      <c r="B18" s="8" t="inlineStr">
        <is>
          <t>万円/年</t>
        </is>
      </c>
      <c r="C18" s="53">
        <f>'拠点と売上'!$C$21-'損益と現金'!$C$11-'損益と現金'!$C$12</f>
        <v>377</v>
      </c>
      <c r="D18" s="53">
        <f>'拠点と売上'!$D$21-'損益と現金'!$D$11-'損益と現金'!$D$12</f>
        <v>781</v>
      </c>
      <c r="E18" s="53">
        <f>'拠点と売上'!$E$21-'損益と現金'!$E$11-'損益と現金'!$E$12</f>
        <v>1428.66666666667</v>
      </c>
      <c r="F18" s="53">
        <f>'拠点と売上'!$F$21-'損益と現金'!$F$11-'損益と現金'!$F$12</f>
        <v>1776.33333333333</v>
      </c>
      <c r="G18" s="53">
        <f>'拠点と売上'!$G$21-'損益と現金'!$G$11-'損益と現金'!$G$12</f>
        <v>2263.66666666667</v>
      </c>
      <c r="H18" s="53">
        <f>'拠点と売上'!$H$21-'損益と現金'!$H$11-'損益と現金'!$H$12</f>
        <v>2457.33333333333</v>
      </c>
      <c r="I18" s="53">
        <f>'拠点と売上'!$I$21-'損益と現金'!$I$11-'損益と現金'!$I$12</f>
        <v>2608.66666666667</v>
      </c>
      <c r="J18" s="53">
        <f>'拠点と売上'!$J$21-'損益と現金'!$J$11-'損益と現金'!$J$12</f>
        <v>2760</v>
      </c>
      <c r="K18" s="53">
        <f>'拠点と売上'!$K$21-'損益と現金'!$K$11-'損益と現金'!$K$12</f>
        <v>2793.33333333333</v>
      </c>
      <c r="L18" s="53">
        <f>'拠点と売上'!$L$21-'損益と現金'!$L$11-'損益と現金'!$L$12</f>
        <v>2826.66666666667</v>
      </c>
      <c r="M18" s="37" t="inlineStr">
        <is>
          <t>導入支援＋個社設定−導入支援の原価−個社設定の人件費</t>
        </is>
      </c>
    </row>
    <row r="19" ht="17.5" customHeight="1">
      <c r="A19" s="7" t="inlineStr">
        <is>
          <t>1拠点の利用料の粗利</t>
        </is>
      </c>
      <c r="B19" s="8" t="inlineStr">
        <is>
          <t>万円/年</t>
        </is>
      </c>
      <c r="C19" s="53">
        <f>'値段と原価'!$C$15</f>
        <v>216</v>
      </c>
      <c r="D19" s="53">
        <f>'値段と原価'!$C$15</f>
        <v>216</v>
      </c>
      <c r="E19" s="53">
        <f>'値段と原価'!$C$15</f>
        <v>216</v>
      </c>
      <c r="F19" s="53">
        <f>'値段と原価'!$C$15</f>
        <v>216</v>
      </c>
      <c r="G19" s="53">
        <f>'値段と原価'!$C$15</f>
        <v>216</v>
      </c>
      <c r="H19" s="53">
        <f>'値段と原価'!$C$15</f>
        <v>216</v>
      </c>
      <c r="I19" s="53">
        <f>'値段と原価'!$C$15</f>
        <v>216</v>
      </c>
      <c r="J19" s="53">
        <f>'値段と原価'!$C$15</f>
        <v>216</v>
      </c>
      <c r="K19" s="53">
        <f>'値段と原価'!$C$15</f>
        <v>216</v>
      </c>
      <c r="L19" s="53">
        <f>'値段と原価'!$C$15</f>
        <v>216</v>
      </c>
      <c r="M19" s="37" t="inlineStr">
        <is>
          <t>値段と原価（300−84）</t>
        </is>
      </c>
    </row>
    <row r="20" ht="17.5" customHeight="1">
      <c r="A20" s="6" t="inlineStr">
        <is>
          <t>黒字に必要な課金拠点</t>
        </is>
      </c>
      <c r="B20" s="8" t="inlineStr">
        <is>
          <t>拠点</t>
        </is>
      </c>
      <c r="C20" s="55">
        <f>($C$5-$C$18)/$C$19</f>
        <v>22.1319444444444</v>
      </c>
      <c r="D20" s="55">
        <f>($D$5-$D$18)/$D$19</f>
        <v>29.5486111111111</v>
      </c>
      <c r="E20" s="55">
        <f>($E$5-$E$18)/$E$19</f>
        <v>37.1134259259259</v>
      </c>
      <c r="F20" s="55">
        <f>($F$5-$F$18)/$F$19</f>
        <v>57.3564814814815</v>
      </c>
      <c r="G20" s="55">
        <f>($G$5-$G$18)/$G$19</f>
        <v>69.6712962962963</v>
      </c>
      <c r="H20" s="55">
        <f>($H$5-$H$18)/$H$19</f>
        <v>70.0648148148148</v>
      </c>
      <c r="I20" s="55">
        <f>($I$5-$I$18)/$I$19</f>
        <v>80.5046296296296</v>
      </c>
      <c r="J20" s="55">
        <f>($J$5-$J$18)/$J$19</f>
        <v>86.4189814814815</v>
      </c>
      <c r="K20" s="55">
        <f>($K$5-$K$18)/$K$19</f>
        <v>90.5046296296296</v>
      </c>
      <c r="L20" s="55">
        <f>($L$5-$L$18)/$L$19</f>
        <v>99.1273148148148</v>
      </c>
      <c r="M20" s="37" t="inlineStr">
        <is>
          <t>(販管費−サービスの粗利)÷216</t>
        </is>
      </c>
    </row>
    <row r="21" ht="17.5" customHeight="1">
      <c r="A21" s="7" t="inlineStr">
        <is>
          <t>実際の課金拠点（通年換算）</t>
        </is>
      </c>
      <c r="B21" s="8" t="inlineStr">
        <is>
          <t>拠点</t>
        </is>
      </c>
      <c r="C21" s="53">
        <f>'損益と現金'!$C$5</f>
        <v>0</v>
      </c>
      <c r="D21" s="53">
        <f>'損益と現金'!$D$5</f>
        <v>7.5</v>
      </c>
      <c r="E21" s="53">
        <f>'損益と現金'!$E$5</f>
        <v>20</v>
      </c>
      <c r="F21" s="53">
        <f>'損益と現金'!$F$5</f>
        <v>39.5</v>
      </c>
      <c r="G21" s="53">
        <f>'損益と現金'!$G$5</f>
        <v>64.5</v>
      </c>
      <c r="H21" s="53">
        <f>'損益と現金'!$H$5</f>
        <v>91</v>
      </c>
      <c r="I21" s="53">
        <f>'損益と現金'!$I$5</f>
        <v>117</v>
      </c>
      <c r="J21" s="53">
        <f>'損益と現金'!$J$5</f>
        <v>142</v>
      </c>
      <c r="K21" s="53">
        <f>'損益と現金'!$K$5</f>
        <v>166</v>
      </c>
      <c r="L21" s="53">
        <f>'損益と現金'!$L$5</f>
        <v>187</v>
      </c>
      <c r="M21" s="37" t="inlineStr">
        <is>
          <t>損益と現金（1年目は試験導入なので0）</t>
        </is>
      </c>
    </row>
    <row r="22" ht="17.5" customHeight="1">
      <c r="A22" s="7" t="inlineStr">
        <is>
          <t>課金拠点の余裕（実際−必要）</t>
        </is>
      </c>
      <c r="B22" s="8" t="inlineStr">
        <is>
          <t>拠点</t>
        </is>
      </c>
      <c r="C22" s="53">
        <f>$C$21-$C$20</f>
        <v>-22.1319444444444</v>
      </c>
      <c r="D22" s="53">
        <f>$D$21-$D$20</f>
        <v>-22.0486111111111</v>
      </c>
      <c r="E22" s="53">
        <f>$E$21-$E$20</f>
        <v>-17.1134259259259</v>
      </c>
      <c r="F22" s="53">
        <f>$F$21-$F$20</f>
        <v>-17.8564814814815</v>
      </c>
      <c r="G22" s="53">
        <f>$G$21-$G$20</f>
        <v>-5.17129629629631</v>
      </c>
      <c r="H22" s="53">
        <f>$H$21-$H$20</f>
        <v>20.9351851851852</v>
      </c>
      <c r="I22" s="53">
        <f>$I$21-$I$20</f>
        <v>36.4953703703704</v>
      </c>
      <c r="J22" s="53">
        <f>$J$21-$J$20</f>
        <v>55.5810185185185</v>
      </c>
      <c r="K22" s="53">
        <f>$K$21-$K$20</f>
        <v>75.4953703703704</v>
      </c>
      <c r="L22" s="53">
        <f>$L$21-$L$20</f>
        <v>87.8726851851852</v>
      </c>
      <c r="M22" s="37" t="inlineStr">
        <is>
          <t>マイナス（赤）なら足りない</t>
        </is>
      </c>
    </row>
    <row r="23" ht="19" customHeight="1">
      <c r="A23" s="3" t="inlineStr">
        <is>
          <t>5年目に黒字にするのに必要な1拠点の台数（81拠点のまま台数だけ増やす）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17.5" customHeight="1">
      <c r="A24" s="7" t="inlineStr">
        <is>
          <t>課金する拠点（通年換算）</t>
        </is>
      </c>
      <c r="B24" s="33" t="inlineStr">
        <is>
          <t>拠点</t>
        </is>
      </c>
      <c r="C24" s="38">
        <f>INDEX($C$21:$L$21,1,'前提'!$E$148)</f>
        <v>64.5</v>
      </c>
      <c r="D24" s="37" t="inlineStr">
        <is>
          <t>その年の (期首−解約)＋新規×半年</t>
        </is>
      </c>
    </row>
    <row r="25" ht="17.5" customHeight="1">
      <c r="A25" s="7" t="inlineStr">
        <is>
          <t>期末の拠点</t>
        </is>
      </c>
      <c r="B25" s="33" t="inlineStr">
        <is>
          <t>拠点</t>
        </is>
      </c>
      <c r="C25" s="32">
        <f>INDEX($C$13:$L$13,1,'前提'!$E$148)</f>
        <v>81</v>
      </c>
      <c r="D25" s="37" t="inlineStr"/>
    </row>
    <row r="26" ht="17.5" customHeight="1">
      <c r="A26" s="7" t="inlineStr">
        <is>
          <t>必要な利用料の粗利</t>
        </is>
      </c>
      <c r="B26" s="33" t="inlineStr">
        <is>
          <t>万円/年</t>
        </is>
      </c>
      <c r="C26" s="38">
        <f>INDEX($C$5:$L$5,1,'前提'!$E$148)-INDEX($C$18:$L$18,1,'前提'!$E$148)</f>
        <v>15049</v>
      </c>
      <c r="D26" s="37" t="inlineStr">
        <is>
          <t>販管費−サービスの粗利</t>
        </is>
      </c>
    </row>
    <row r="27" ht="17.5" customHeight="1">
      <c r="A27" s="7" t="inlineStr">
        <is>
          <t>1拠点あたりに必要な利用料の粗利</t>
        </is>
      </c>
      <c r="B27" s="33" t="inlineStr">
        <is>
          <t>万円/年/拠点</t>
        </is>
      </c>
      <c r="C27" s="34">
        <f>$C$26/$C$24</f>
        <v>233.317829457364</v>
      </c>
      <c r="D27" s="37" t="inlineStr">
        <is>
          <t>必要な利用料の粗利÷課金する拠点</t>
        </is>
      </c>
    </row>
    <row r="28" ht="17.5" customHeight="1">
      <c r="A28" s="7" t="inlineStr">
        <is>
          <t>基盤の粗利（1拠点）</t>
        </is>
      </c>
      <c r="B28" s="33" t="inlineStr">
        <is>
          <t>万円/年/拠点</t>
        </is>
      </c>
      <c r="C28" s="38">
        <f>'値段と原価'!$C$5-'値段と原価'!$C$13</f>
        <v>48</v>
      </c>
      <c r="D28" s="37" t="inlineStr">
        <is>
          <t>基盤60−データ基盤12</t>
        </is>
      </c>
    </row>
    <row r="29" ht="17.5" customHeight="1">
      <c r="A29" s="7" t="inlineStr">
        <is>
          <t>1台の粗利</t>
        </is>
      </c>
      <c r="B29" s="33" t="inlineStr">
        <is>
          <t>万円/年/台</t>
        </is>
      </c>
      <c r="C29" s="34">
        <f>'値段と原価'!$C$6-'値段と原価'!$C$12</f>
        <v>16.8</v>
      </c>
      <c r="D29" s="37" t="inlineStr">
        <is>
          <t>端末24−1台の原価7.2</t>
        </is>
      </c>
    </row>
    <row r="30" ht="17.5" customHeight="1">
      <c r="A30" s="6" t="inlineStr">
        <is>
          <t>必要な台数（計算）</t>
        </is>
      </c>
      <c r="B30" s="33" t="inlineStr">
        <is>
          <t>台/拠点</t>
        </is>
      </c>
      <c r="C30" s="36">
        <f>($C$27-$C$28)/$C$29</f>
        <v>11.030823181986</v>
      </c>
      <c r="D30" s="37" t="inlineStr">
        <is>
          <t>(1拠点に必要な粗利−基盤の粗利)÷1台の粗利</t>
        </is>
      </c>
    </row>
    <row r="31" ht="17.5" customHeight="1">
      <c r="A31" s="6" t="inlineStr">
        <is>
          <t>必要な台数（整数に切り上げ）</t>
        </is>
      </c>
      <c r="B31" s="33" t="inlineStr">
        <is>
          <t>台/拠点</t>
        </is>
      </c>
      <c r="C31" s="43">
        <f>ROUNDUP($C$30,0)</f>
        <v>12</v>
      </c>
      <c r="D31" s="37" t="inlineStr">
        <is>
          <t>この台数なら5年目に黒字</t>
        </is>
      </c>
    </row>
    <row r="32" ht="17.5" customHeight="1">
      <c r="A32" s="6" t="inlineStr">
        <is>
          <t>確認：その台数での5年目の営業利益</t>
        </is>
      </c>
      <c r="B32" s="33" t="inlineStr">
        <is>
          <t>万円/年</t>
        </is>
      </c>
      <c r="C32" s="50">
        <f>$C$24*($C$28+$C$29*$C$31)+INDEX($C$18:$L$18,1,'前提'!$E$148)-INDEX($C$5:$L$5,1,'前提'!$E$148)</f>
        <v>1050.2</v>
      </c>
      <c r="D32" s="37" t="inlineStr">
        <is>
          <t>課金する拠点×(基盤の粗利＋1台の粗利×台数)＋サービスの粗利−販管費</t>
        </is>
      </c>
    </row>
    <row r="33" ht="17.5" customHeight="1">
      <c r="A33" s="6" t="inlineStr">
        <is>
          <t>確認：1台少ない場合の5年目の営業利益</t>
        </is>
      </c>
      <c r="B33" s="33" t="inlineStr">
        <is>
          <t>万円/年</t>
        </is>
      </c>
      <c r="C33" s="50">
        <f>$C$24*($C$28+$C$29*($C$31-1))+INDEX($C$18:$L$18,1,'前提'!$E$148)-INDEX($C$5:$L$5,1,'前提'!$E$148)</f>
        <v>-33.4000000000015</v>
      </c>
      <c r="D33" s="37" t="inlineStr">
        <is>
          <t>同じ式で台数−1</t>
        </is>
      </c>
    </row>
    <row r="34" ht="17.5" customHeight="1">
      <c r="A34" s="6" t="inlineStr">
        <is>
          <t>確認：15台の場合の5年目の営業利益</t>
        </is>
      </c>
      <c r="B34" s="33" t="inlineStr">
        <is>
          <t>万円/年</t>
        </is>
      </c>
      <c r="C34" s="50">
        <f>$C$24*($C$28+$C$29*'前提'!$E$149)+INDEX($C$18:$L$18,1,'前提'!$E$148)-INDEX($C$5:$L$5,1,'前提'!$E$148)</f>
        <v>4301</v>
      </c>
      <c r="D34" s="37" t="inlineStr">
        <is>
          <t>前提9-4の台数。tora_v2.js の1拠点15台（4,301万円）と同じになる</t>
        </is>
      </c>
    </row>
    <row r="35" ht="17.5" customHeight="1">
      <c r="A35" s="2" t="inlineStr">
        <is>
          <t>注：台数を増やしても、導入支援・人件費・データ基盤は変わらないとした（tora_v2.js と同じ）。</t>
        </is>
      </c>
    </row>
    <row r="36" ht="19" customHeight="1">
      <c r="A36" s="3" t="inlineStr">
        <is>
          <t>問い：黒字ラインは結局何台／何拠点？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48" customHeight="1">
      <c r="A37" s="60" t="str">
        <f>"5年目（社員"&amp;TEXT(INDEX($C$12:$L$12,1,'前提'!$E$148),"0")&amp;"人・販管費"&amp;TEXT(INDEX($C$5:$L$5,1,'前提'!$E$148),"#,##0")&amp;"万円）で黒字にするには、通年で課金する拠点が"&amp;TEXT(INDEX($C$20:$L$20,1,'前提'!$E$148),"0.0")&amp;"拠点要る（実際は"&amp;TEXT(INDEX($C$21:$L$21,1,'前提'!$E$148),"0.0")&amp;"）。期末"&amp;TEXT($C$25,"0")&amp;"拠点のまま台数で越えるなら、1拠点"&amp;TEXT($C$31,"0")&amp;"台（計算では"&amp;TEXT($C$30,"0.00")&amp;"台）。10台のままなら"&amp;IF(ISNUMBER('損益と現金'!$C$34),TEXT('損益と現金'!$C$34,"0")&amp;"年目（期末"&amp;TEXT(INDEX($C$13:$L$13,1,'損益と現金'!$C$34),"0")&amp;"拠点・社員"&amp;TEXT(INDEX($C$12:$L$12,1,'損益と現金'!$C$34),"0")&amp;"人）に黒字。","10年以内には黒字にならない。")</f>
        <v>5年目（社員23人・販管費17,313万円）で黒字にするには、通年で課金する拠点が69.7拠点要る（実際は64.5）。期末81拠点のまま台数で越えるなら、1拠点12台（計算では11.03台）。10台のままなら6年目（期末109拠点・社員24人）に黒字。</v>
      </c>
    </row>
  </sheetData>
  <mergeCells count="14">
    <mergeCell ref="D27:M27"/>
    <mergeCell ref="D31:M31"/>
    <mergeCell ref="D32:M32"/>
    <mergeCell ref="A37:M37"/>
    <mergeCell ref="D26:M26"/>
    <mergeCell ref="A35:M35"/>
    <mergeCell ref="D30:M30"/>
    <mergeCell ref="D25:M25"/>
    <mergeCell ref="D34:M34"/>
    <mergeCell ref="D24:M24"/>
    <mergeCell ref="A2:M2"/>
    <mergeCell ref="D33:M33"/>
    <mergeCell ref="D28:M28"/>
    <mergeCell ref="D29:M29"/>
  </mergeCells>
  <conditionalFormatting sqref="C4:L38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24" customHeight="1">
      <c r="A1" s="1" t="inlineStr">
        <is>
          <t>LTV・CAC：LTVは控えめに7年で約1,571万円、CACは約86万円</t>
        </is>
      </c>
    </row>
    <row r="2" ht="17.5" customHeight="1">
      <c r="A2" s="2" t="inlineStr">
        <is>
          <t>LTV＝1拠点の年の粗利×継続年数＋導入支援の粗利。CAC＝(営業の人件費＋広告)÷新規拠点（5年目）。tora_v2.js の unit() と同じ（計算詳細版 p.20）。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" t="inlineStr">
        <is>
          <t>値</t>
        </is>
      </c>
      <c r="D3" s="5" t="n"/>
      <c r="E3" s="5" t="n"/>
      <c r="F3" s="5" t="inlineStr">
        <is>
          <t>式（言葉）</t>
        </is>
      </c>
    </row>
    <row r="4" ht="19" customHeight="1">
      <c r="A4" s="3" t="inlineStr">
        <is>
          <t>LTV（1拠点が残す粗利）</t>
        </is>
      </c>
      <c r="B4" s="4" t="n"/>
      <c r="C4" s="4" t="n"/>
      <c r="D4" s="4" t="n"/>
      <c r="E4" s="4" t="n"/>
      <c r="F4" s="4" t="n"/>
    </row>
    <row r="5" ht="17.5" customHeight="1">
      <c r="A5" s="7" t="inlineStr">
        <is>
          <t>1拠点の年の粗利</t>
        </is>
      </c>
      <c r="B5" s="8" t="inlineStr">
        <is>
          <t>万円/年</t>
        </is>
      </c>
      <c r="C5" s="38">
        <f>'値段と原価'!$C$15</f>
        <v>216</v>
      </c>
      <c r="D5" s="37" t="inlineStr">
        <is>
          <t>値段と原価（300−84）</t>
        </is>
      </c>
    </row>
    <row r="6" ht="17.5" customHeight="1">
      <c r="A6" s="7" t="inlineStr">
        <is>
          <t>導入支援の粗利</t>
        </is>
      </c>
      <c r="B6" s="8" t="inlineStr">
        <is>
          <t>万円/拠点</t>
        </is>
      </c>
      <c r="C6" s="38">
        <f>'導入支援'!$C$21</f>
        <v>59</v>
      </c>
      <c r="D6" s="37" t="inlineStr">
        <is>
          <t>導入支援（200−141）</t>
        </is>
      </c>
    </row>
    <row r="7" ht="17.5" customHeight="1">
      <c r="A7" s="7" t="inlineStr">
        <is>
          <t>計画の継続年数</t>
        </is>
      </c>
      <c r="B7" s="8" t="inlineStr">
        <is>
          <t>年</t>
        </is>
      </c>
      <c r="C7" s="32">
        <f>'前提'!$E$146</f>
        <v>7</v>
      </c>
      <c r="D7" s="37" t="inlineStr">
        <is>
          <t>前提9-1</t>
        </is>
      </c>
    </row>
    <row r="8" ht="17.5" customHeight="1">
      <c r="A8" s="6" t="inlineStr">
        <is>
          <t>LTV（計画）</t>
        </is>
      </c>
      <c r="B8" s="8" t="inlineStr">
        <is>
          <t>万円/拠点</t>
        </is>
      </c>
      <c r="C8" s="50">
        <f>$C$5*$C$7+$C$6</f>
        <v>1571</v>
      </c>
      <c r="D8" s="37" t="inlineStr">
        <is>
          <t>216×7年＋59</t>
        </is>
      </c>
    </row>
    <row r="9" ht="17.5" customHeight="1">
      <c r="A9" s="7" t="inlineStr">
        <is>
          <t>解約率から見た平均の継続年数</t>
        </is>
      </c>
      <c r="B9" s="8" t="inlineStr">
        <is>
          <t>年</t>
        </is>
      </c>
      <c r="C9" s="38">
        <f>1/'拠点と売上'!$C$6</f>
        <v>10</v>
      </c>
      <c r="D9" s="37" t="inlineStr">
        <is>
          <t>1÷解約率10%＝10年。7年は控えめ</t>
        </is>
      </c>
    </row>
    <row r="10" ht="19" customHeight="1">
      <c r="A10" s="3" t="inlineStr">
        <is>
          <t>CAC（1拠点を獲得する費用）</t>
        </is>
      </c>
      <c r="B10" s="4" t="n"/>
      <c r="C10" s="4" t="n"/>
      <c r="D10" s="4" t="n"/>
      <c r="E10" s="4" t="n"/>
      <c r="F10" s="4" t="n"/>
    </row>
    <row r="11" ht="17.5" customHeight="1">
      <c r="A11" s="7" t="inlineStr">
        <is>
          <t>計算する年</t>
        </is>
      </c>
      <c r="B11" s="8" t="inlineStr">
        <is>
          <t>年目</t>
        </is>
      </c>
      <c r="C11" s="61">
        <f>'前提'!$E$147</f>
        <v>5</v>
      </c>
      <c r="D11" s="37" t="inlineStr">
        <is>
          <t>前提9-2</t>
        </is>
      </c>
    </row>
    <row r="12" ht="17.5" customHeight="1">
      <c r="A12" s="7" t="inlineStr">
        <is>
          <t>営業の人数</t>
        </is>
      </c>
      <c r="B12" s="8" t="inlineStr">
        <is>
          <t>人</t>
        </is>
      </c>
      <c r="C12" s="32">
        <f>INDEX('体制と人件費'!$C$19:$L$19,1,$C$11)</f>
        <v>3</v>
      </c>
      <c r="D12" s="37" t="inlineStr">
        <is>
          <t>体制と人件費（5年目3人）</t>
        </is>
      </c>
    </row>
    <row r="13" ht="17.5" customHeight="1">
      <c r="A13" s="7" t="inlineStr">
        <is>
          <t>営業の年収</t>
        </is>
      </c>
      <c r="B13" s="8" t="inlineStr">
        <is>
          <t>万円/年</t>
        </is>
      </c>
      <c r="C13" s="32">
        <f>INDEX('体制と人件費'!$C$10:$L$10,1,$C$11)</f>
        <v>650</v>
      </c>
      <c r="D13" s="37" t="inlineStr">
        <is>
          <t>体制と人件費</t>
        </is>
      </c>
    </row>
    <row r="14" ht="17.5" customHeight="1">
      <c r="A14" s="7" t="inlineStr">
        <is>
          <t>営業の人件費</t>
        </is>
      </c>
      <c r="B14" s="8" t="inlineStr">
        <is>
          <t>万円/年</t>
        </is>
      </c>
      <c r="C14" s="32">
        <f>$C$12*$C$13*'前提'!$E$109</f>
        <v>2340</v>
      </c>
      <c r="D14" s="37" t="inlineStr">
        <is>
          <t>3人×650万円×1.2</t>
        </is>
      </c>
    </row>
    <row r="15" ht="17.5" customHeight="1">
      <c r="A15" s="7" t="inlineStr">
        <is>
          <t>広告・展示会</t>
        </is>
      </c>
      <c r="B15" s="8" t="inlineStr">
        <is>
          <t>万円/年</t>
        </is>
      </c>
      <c r="C15" s="32">
        <f>INDEX('前提'!$E$127:$N$127,1,$C$11)</f>
        <v>500</v>
      </c>
      <c r="D15" s="37" t="inlineStr">
        <is>
          <t>前提7-10</t>
        </is>
      </c>
    </row>
    <row r="16" ht="17.5" customHeight="1">
      <c r="A16" s="7" t="inlineStr">
        <is>
          <t>新規拠点</t>
        </is>
      </c>
      <c r="B16" s="8" t="inlineStr">
        <is>
          <t>拠点/年</t>
        </is>
      </c>
      <c r="C16" s="32">
        <f>INDEX('前提'!$E$118:$N$118,1,$C$11)</f>
        <v>33</v>
      </c>
      <c r="D16" s="37" t="inlineStr">
        <is>
          <t>前提7-1</t>
        </is>
      </c>
    </row>
    <row r="17" ht="17.5" customHeight="1">
      <c r="A17" s="6" t="inlineStr">
        <is>
          <t>CAC</t>
        </is>
      </c>
      <c r="B17" s="8" t="inlineStr">
        <is>
          <t>万円/拠点</t>
        </is>
      </c>
      <c r="C17" s="36">
        <f>($C$14+$C$15)/$C$16</f>
        <v>86.0606060606061</v>
      </c>
      <c r="D17" s="37" t="inlineStr">
        <is>
          <t>(営業3人×650万円×1.2＋広告500)÷新規33</t>
        </is>
      </c>
    </row>
    <row r="18" ht="17.5" customHeight="1">
      <c r="A18" s="6" t="inlineStr">
        <is>
          <t>回収月数</t>
        </is>
      </c>
      <c r="B18" s="8" t="inlineStr">
        <is>
          <t>か月</t>
        </is>
      </c>
      <c r="C18" s="36">
        <f>$C$17/($C$5/'前提'!$E$6)</f>
        <v>4.78114478114478</v>
      </c>
      <c r="D18" s="37" t="inlineStr">
        <is>
          <t>CAC÷(1拠点の年の粗利÷12)</t>
        </is>
      </c>
    </row>
    <row r="19" ht="17.5" customHeight="1">
      <c r="A19" s="6" t="inlineStr">
        <is>
          <t>LTV÷CAC（計画）</t>
        </is>
      </c>
      <c r="B19" s="8" t="inlineStr">
        <is>
          <t>倍</t>
        </is>
      </c>
      <c r="C19" s="50">
        <f>$C$8/$C$17</f>
        <v>18.2545774647887</v>
      </c>
      <c r="D19" s="37" t="inlineStr">
        <is>
          <t>LTV÷CAC</t>
        </is>
      </c>
    </row>
    <row r="20" ht="19" customHeight="1">
      <c r="A20" s="3" t="inlineStr">
        <is>
          <t>継続年数を変えたら</t>
        </is>
      </c>
      <c r="B20" s="4" t="n"/>
      <c r="C20" s="4" t="n"/>
      <c r="D20" s="4" t="n"/>
      <c r="E20" s="4" t="n"/>
      <c r="F20" s="4" t="n"/>
    </row>
    <row r="21" ht="34" customHeight="1">
      <c r="A21" s="5" t="inlineStr">
        <is>
          <t>継続年数</t>
        </is>
      </c>
      <c r="B21" s="5" t="inlineStr">
        <is>
          <t>単位</t>
        </is>
      </c>
      <c r="C21" s="5" t="inlineStr">
        <is>
          <t>LTV（万円/拠点）</t>
        </is>
      </c>
      <c r="D21" s="5" t="inlineStr">
        <is>
          <t>LTV÷CAC（倍）</t>
        </is>
      </c>
      <c r="E21" s="5" t="inlineStr">
        <is>
          <t>式（言葉）</t>
        </is>
      </c>
    </row>
    <row r="22" ht="17.5" customHeight="1">
      <c r="A22" s="62">
        <f>'前提'!$E$151</f>
        <v>3</v>
      </c>
      <c r="B22" s="42" t="inlineStr">
        <is>
          <t>万円・倍</t>
        </is>
      </c>
      <c r="C22" s="32">
        <f>$C$5*'前提'!$E$151+$C$6</f>
        <v>707</v>
      </c>
      <c r="D22" s="38">
        <f>($C$5*'前提'!$E$151+$C$6)/$C$17</f>
        <v>8.21514084507042</v>
      </c>
      <c r="E22" s="37" t="inlineStr">
        <is>
          <t>216×継続年数＋59、それをCACで割る</t>
        </is>
      </c>
    </row>
    <row r="23" ht="17.5" customHeight="1">
      <c r="A23" s="62">
        <f>'前提'!$F$151</f>
        <v>5</v>
      </c>
      <c r="B23" s="42" t="inlineStr">
        <is>
          <t>万円・倍</t>
        </is>
      </c>
      <c r="C23" s="32">
        <f>$C$5*'前提'!$F$151+$C$6</f>
        <v>1139</v>
      </c>
      <c r="D23" s="38">
        <f>($C$5*'前提'!$F$151+$C$6)/$C$17</f>
        <v>13.2348591549296</v>
      </c>
      <c r="E23" s="37" t="inlineStr">
        <is>
          <t>216×継続年数＋59、それをCACで割る</t>
        </is>
      </c>
    </row>
    <row r="24" ht="17.5" customHeight="1">
      <c r="A24" s="62">
        <f>'前提'!$G$151</f>
        <v>7</v>
      </c>
      <c r="B24" s="42" t="inlineStr">
        <is>
          <t>万円・倍</t>
        </is>
      </c>
      <c r="C24" s="32">
        <f>$C$5*'前提'!$G$151+$C$6</f>
        <v>1571</v>
      </c>
      <c r="D24" s="38">
        <f>($C$5*'前提'!$G$151+$C$6)/$C$17</f>
        <v>18.2545774647887</v>
      </c>
      <c r="E24" s="37" t="inlineStr">
        <is>
          <t>216×継続年数＋59、それをCACで割る</t>
        </is>
      </c>
    </row>
    <row r="25" ht="17.5" customHeight="1">
      <c r="A25" s="62">
        <f>'前提'!$H$151</f>
        <v>10</v>
      </c>
      <c r="B25" s="42" t="inlineStr">
        <is>
          <t>万円・倍</t>
        </is>
      </c>
      <c r="C25" s="32">
        <f>$C$5*'前提'!$H$151+$C$6</f>
        <v>2219</v>
      </c>
      <c r="D25" s="38">
        <f>($C$5*'前提'!$H$151+$C$6)/$C$17</f>
        <v>25.7841549295775</v>
      </c>
      <c r="E25" s="37" t="inlineStr">
        <is>
          <t>216×継続年数＋59、それをCACで割る</t>
        </is>
      </c>
    </row>
    <row r="26" ht="19" customHeight="1">
      <c r="A26" s="3" t="inlineStr">
        <is>
          <t>獲得が難しくなったら（CACが増えた場合）</t>
        </is>
      </c>
      <c r="B26" s="4" t="n"/>
      <c r="C26" s="4" t="n"/>
      <c r="D26" s="4" t="n"/>
      <c r="E26" s="4" t="n"/>
      <c r="F26" s="4" t="n"/>
    </row>
    <row r="27" ht="34" customHeight="1">
      <c r="A27" s="5" t="inlineStr">
        <is>
          <t>CACの倍率</t>
        </is>
      </c>
      <c r="B27" s="5" t="inlineStr">
        <is>
          <t>単位</t>
        </is>
      </c>
      <c r="C27" s="5" t="inlineStr">
        <is>
          <t>CAC（万円/拠点）</t>
        </is>
      </c>
      <c r="D27" s="5" t="inlineStr">
        <is>
          <t>LTV÷CAC（倍・計画の年数）</t>
        </is>
      </c>
      <c r="E27" s="5" t="inlineStr">
        <is>
          <t>回収月数（か月）</t>
        </is>
      </c>
      <c r="F27" s="5" t="inlineStr">
        <is>
          <t>式（言葉）</t>
        </is>
      </c>
    </row>
    <row r="28" ht="31" customHeight="1">
      <c r="A28" s="63">
        <f>'前提'!$E$152</f>
        <v>1</v>
      </c>
      <c r="B28" s="42" t="inlineStr">
        <is>
          <t>万円・倍・か月</t>
        </is>
      </c>
      <c r="C28" s="32">
        <f>$C$17*'前提'!$E$152</f>
        <v>86.0606060606061</v>
      </c>
      <c r="D28" s="38">
        <f>$C$8/($C$17*'前提'!$E$152)</f>
        <v>18.2545774647887</v>
      </c>
      <c r="E28" s="38">
        <f>$C$18*'前提'!$E$152</f>
        <v>4.78114478114478</v>
      </c>
      <c r="F28" s="37" t="inlineStr">
        <is>
          <t>CAC×倍率</t>
        </is>
      </c>
    </row>
    <row r="29" ht="31" customHeight="1">
      <c r="A29" s="63">
        <f>'前提'!$F$152</f>
        <v>2</v>
      </c>
      <c r="B29" s="42" t="inlineStr">
        <is>
          <t>万円・倍・か月</t>
        </is>
      </c>
      <c r="C29" s="32">
        <f>$C$17*'前提'!$F$152</f>
        <v>172.121212121212</v>
      </c>
      <c r="D29" s="38">
        <f>$C$8/($C$17*'前提'!$F$152)</f>
        <v>9.12728873239437</v>
      </c>
      <c r="E29" s="38">
        <f>$C$18*'前提'!$F$152</f>
        <v>9.56228956228956</v>
      </c>
      <c r="F29" s="37" t="inlineStr">
        <is>
          <t>CAC×倍率</t>
        </is>
      </c>
    </row>
    <row r="30" ht="31" customHeight="1">
      <c r="A30" s="63">
        <f>'前提'!$G$152</f>
        <v>4</v>
      </c>
      <c r="B30" s="42" t="inlineStr">
        <is>
          <t>万円・倍・か月</t>
        </is>
      </c>
      <c r="C30" s="32">
        <f>$C$17*'前提'!$G$152</f>
        <v>344.242424242424</v>
      </c>
      <c r="D30" s="38">
        <f>$C$8/($C$17*'前提'!$G$152)</f>
        <v>4.56364436619718</v>
      </c>
      <c r="E30" s="38">
        <f>$C$18*'前提'!$G$152</f>
        <v>19.1245791245791</v>
      </c>
      <c r="F30" s="37" t="inlineStr">
        <is>
          <t>CAC×倍率</t>
        </is>
      </c>
    </row>
    <row r="31" ht="17.5" customHeight="1">
      <c r="A31" s="2" t="inlineStr">
        <is>
          <t>注：1〜2年目は創業者が営業するため、CACに創業者の人件費は入れていない（聞かれたらそのまま答える）。</t>
        </is>
      </c>
    </row>
    <row r="32" ht="17.5" customHeight="1">
      <c r="A32" s="2" t="inlineStr">
        <is>
          <t>注：SaaS でよく使われる目安は「LTV÷CACが3倍以上、回収12か月以内」。</t>
        </is>
      </c>
    </row>
  </sheetData>
  <mergeCells count="22">
    <mergeCell ref="D11:F11"/>
    <mergeCell ref="D13:F13"/>
    <mergeCell ref="E24:F24"/>
    <mergeCell ref="E23:F23"/>
    <mergeCell ref="D17:F17"/>
    <mergeCell ref="D7:F7"/>
    <mergeCell ref="D16:F16"/>
    <mergeCell ref="A2:F2"/>
    <mergeCell ref="A32:F32"/>
    <mergeCell ref="D12:F12"/>
    <mergeCell ref="D18:F18"/>
    <mergeCell ref="D9:F9"/>
    <mergeCell ref="D8:F8"/>
    <mergeCell ref="D15:F15"/>
    <mergeCell ref="D14:F14"/>
    <mergeCell ref="D5:F5"/>
    <mergeCell ref="A31:F31"/>
    <mergeCell ref="D19:F19"/>
    <mergeCell ref="E25:F25"/>
    <mergeCell ref="E22:F22"/>
    <mergeCell ref="D6:F6"/>
    <mergeCell ref="E21:F21"/>
  </mergeCells>
  <conditionalFormatting sqref="C4:E33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  <rowBreaks count="1" manualBreakCount="1">
    <brk id="19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5" customWidth="1" min="5" max="5"/>
    <col width="14" customWidth="1" min="6" max="6"/>
    <col width="14" customWidth="1" min="7" max="7"/>
    <col width="12" customWidth="1" min="8" max="8"/>
    <col width="52" customWidth="1" min="9" max="9"/>
  </cols>
  <sheetData>
    <row r="1" ht="24" customHeight="1">
      <c r="A1" s="1" t="inlineStr">
        <is>
          <t>崩れたとき：前提を一つずつ崩した結果（tora_v2.js で計算した値）</t>
        </is>
      </c>
    </row>
    <row r="2" ht="31" customHeight="1">
      <c r="A2" s="2" t="inlineStr">
        <is>
          <t>灰色の数字は tora_v2.js の run() で計算した値を貼ったもの。1年目〜5年目は計算詳細版 p.21 と同じ。10年で見た列は run({years:10}) に同じ変更を入れた値（新規−30%は6〜10年目の新規と個社設定も0.7倍）。右の列の通りに前提のつまみを変えると、Excel でも同じ結果になる。</t>
        </is>
      </c>
    </row>
    <row r="3" ht="40" customHeight="1">
      <c r="A3" s="5" t="inlineStr">
        <is>
          <t>シナリオ</t>
        </is>
      </c>
      <c r="B3" s="5" t="inlineStr">
        <is>
          <t>想定する事態</t>
        </is>
      </c>
      <c r="C3" s="5" t="inlineStr">
        <is>
          <t>黒字化
（5年で）</t>
        </is>
      </c>
      <c r="D3" s="5" t="inlineStr">
        <is>
          <t>黒字化
（10年で）</t>
        </is>
      </c>
      <c r="E3" s="5" t="inlineStr">
        <is>
          <t>5年目の営業利益
（万円）</t>
        </is>
      </c>
      <c r="F3" s="5" t="inlineStr">
        <is>
          <t>最低の現金
5年で（万円）</t>
        </is>
      </c>
      <c r="G3" s="5" t="inlineStr">
        <is>
          <t>最低の現金
10年で（万円）</t>
        </is>
      </c>
      <c r="H3" s="5" t="inlineStr">
        <is>
          <t>累計回収
（10年で）</t>
        </is>
      </c>
      <c r="I3" s="5" t="inlineStr">
        <is>
          <t>Excel で同じ結果を出すには（前提のどこを変えるか）</t>
        </is>
      </c>
    </row>
    <row r="4" ht="17.5" customHeight="1">
      <c r="A4" s="6" t="inlineStr">
        <is>
          <t>計画どおり</t>
        </is>
      </c>
      <c r="B4" s="8" t="inlineStr">
        <is>
          <t>─</t>
        </is>
      </c>
      <c r="C4" s="64" t="inlineStr">
        <is>
          <t>5年でなし</t>
        </is>
      </c>
      <c r="D4" s="64" t="n">
        <v>6</v>
      </c>
      <c r="E4" s="65" t="n">
        <v>-1117.000000000002</v>
      </c>
      <c r="F4" s="65" t="n">
        <v>6723.499999999996</v>
      </c>
      <c r="G4" s="65" t="n">
        <v>6723.499999999996</v>
      </c>
      <c r="H4" s="66" t="n">
        <v>8</v>
      </c>
      <c r="I4" s="19" t="inlineStr">
        <is>
          <t>初期値のまま</t>
        </is>
      </c>
    </row>
    <row r="5" ht="17.5" customHeight="1">
      <c r="A5" s="7" t="inlineStr">
        <is>
          <t>値段 −20%</t>
        </is>
      </c>
      <c r="B5" s="8" t="inlineStr">
        <is>
          <t>値引きされた</t>
        </is>
      </c>
      <c r="C5" s="64" t="inlineStr">
        <is>
          <t>5年でなし</t>
        </is>
      </c>
      <c r="D5" s="64" t="n">
        <v>7</v>
      </c>
      <c r="E5" s="65" t="n">
        <v>-4987.000000000002</v>
      </c>
      <c r="F5" s="65" t="n">
        <v>-1166.500000000001</v>
      </c>
      <c r="G5" s="65" t="n">
        <v>-2104.499999999997</v>
      </c>
      <c r="H5" s="66" t="inlineStr">
        <is>
          <t>10年でなし</t>
        </is>
      </c>
      <c r="I5" s="19" t="inlineStr">
        <is>
          <t>8-1 値段の倍率を 0.8</t>
        </is>
      </c>
    </row>
    <row r="6" ht="17.5" customHeight="1">
      <c r="A6" s="7" t="inlineStr">
        <is>
          <t>解約 年20%</t>
        </is>
      </c>
      <c r="B6" s="8" t="inlineStr">
        <is>
          <t>定着しなかった</t>
        </is>
      </c>
      <c r="C6" s="64" t="inlineStr">
        <is>
          <t>5年でなし</t>
        </is>
      </c>
      <c r="D6" s="64" t="n">
        <v>6</v>
      </c>
      <c r="E6" s="65" t="n">
        <v>-3061.000000000002</v>
      </c>
      <c r="F6" s="65" t="n">
        <v>3267.499999999996</v>
      </c>
      <c r="G6" s="65" t="n">
        <v>3267.499999999996</v>
      </c>
      <c r="H6" s="66" t="n">
        <v>10</v>
      </c>
      <c r="I6" s="19" t="inlineStr">
        <is>
          <t>8-2 解約率の上書きに 20%</t>
        </is>
      </c>
    </row>
    <row r="7" ht="17.5" customHeight="1">
      <c r="A7" s="7" t="inlineStr">
        <is>
          <t>AI・保存費が2倍</t>
        </is>
      </c>
      <c r="B7" s="8" t="inlineStr">
        <is>
          <t>処理量が想定より多い</t>
        </is>
      </c>
      <c r="C7" s="64" t="inlineStr">
        <is>
          <t>5年でなし</t>
        </is>
      </c>
      <c r="D7" s="64" t="n">
        <v>8</v>
      </c>
      <c r="E7" s="65" t="n">
        <v>-5761.000000000002</v>
      </c>
      <c r="F7" s="65" t="n">
        <v>-2798.500000000002</v>
      </c>
      <c r="G7" s="65" t="n">
        <v>-5369.500000000002</v>
      </c>
      <c r="H7" s="66" t="inlineStr">
        <is>
          <t>10年でなし</t>
        </is>
      </c>
      <c r="I7" s="19" t="inlineStr">
        <is>
          <t>8-3 原価の倍率を 2</t>
        </is>
      </c>
    </row>
    <row r="8" ht="17.5" customHeight="1">
      <c r="A8" s="7" t="inlineStr">
        <is>
          <t>年収 +100万円／人</t>
        </is>
      </c>
      <c r="B8" s="8" t="inlineStr">
        <is>
          <t>採用市場が厳しい</t>
        </is>
      </c>
      <c r="C8" s="64" t="inlineStr">
        <is>
          <t>5年でなし</t>
        </is>
      </c>
      <c r="D8" s="64" t="n">
        <v>6</v>
      </c>
      <c r="E8" s="65" t="n">
        <v>-3877.000000000002</v>
      </c>
      <c r="F8" s="65" t="n">
        <v>-1196.500000000004</v>
      </c>
      <c r="G8" s="65" t="n">
        <v>-1196.500000000004</v>
      </c>
      <c r="H8" s="66" t="n">
        <v>9</v>
      </c>
      <c r="I8" s="19" t="inlineStr">
        <is>
          <t>8-4 年収の上乗せを 100</t>
        </is>
      </c>
    </row>
    <row r="9" ht="31" customHeight="1">
      <c r="A9" s="7" t="inlineStr">
        <is>
          <t>新規 −30%（採用も連動）</t>
        </is>
      </c>
      <c r="B9" s="8" t="inlineStr">
        <is>
          <t>営業が想定より遅い</t>
        </is>
      </c>
      <c r="C9" s="64" t="inlineStr">
        <is>
          <t>5年でなし</t>
        </is>
      </c>
      <c r="D9" s="64" t="n">
        <v>6</v>
      </c>
      <c r="E9" s="65" t="n">
        <v>-2572.69565217391</v>
      </c>
      <c r="F9" s="65" t="n">
        <v>2770.991847826089</v>
      </c>
      <c r="G9" s="65" t="n">
        <v>2770.991847826089</v>
      </c>
      <c r="H9" s="66" t="n">
        <v>10</v>
      </c>
      <c r="I9" s="19" t="inlineStr">
        <is>
          <t>7-1 新規拠点を0.7倍して四捨五入（3,9,18,27,33→2,6,13,19,23）、7-7 個社設定を0.7倍、8-5 採用連動のkに 0.7</t>
        </is>
      </c>
    </row>
    <row r="10" ht="17.5" customHeight="1">
      <c r="A10" s="67" t="inlineStr">
        <is>
          <t>新規 −30%（採用は計画どおり）</t>
        </is>
      </c>
      <c r="B10" s="68" t="inlineStr">
        <is>
          <t>やってはいけない例</t>
        </is>
      </c>
      <c r="C10" s="64" t="inlineStr">
        <is>
          <t>5年でなし</t>
        </is>
      </c>
      <c r="D10" s="64" t="n">
        <v>8</v>
      </c>
      <c r="E10" s="65" t="n">
        <v>-7571.999999999996</v>
      </c>
      <c r="F10" s="65" t="n">
        <v>-8291.499999999996</v>
      </c>
      <c r="G10" s="65" t="n">
        <v>-14626.5</v>
      </c>
      <c r="H10" s="66" t="inlineStr">
        <is>
          <t>10年でなし</t>
        </is>
      </c>
      <c r="I10" s="19" t="inlineStr">
        <is>
          <t>7-1 と 7-7 を上と同じく0.7倍（kは空のまま）</t>
        </is>
      </c>
    </row>
    <row r="11" ht="17.5" customHeight="1">
      <c r="A11" s="7" t="inlineStr">
        <is>
          <t>1拠点15台</t>
        </is>
      </c>
      <c r="B11" s="8" t="inlineStr">
        <is>
          <t>効果が出た班から追加</t>
        </is>
      </c>
      <c r="C11" s="64" t="n">
        <v>5</v>
      </c>
      <c r="D11" s="64" t="n">
        <v>5</v>
      </c>
      <c r="E11" s="65" t="n">
        <v>4300.999999999996</v>
      </c>
      <c r="F11" s="65" t="n">
        <v>10997</v>
      </c>
      <c r="G11" s="65" t="n">
        <v>10997</v>
      </c>
      <c r="H11" s="66" t="n">
        <v>6</v>
      </c>
      <c r="I11" s="19" t="inlineStr">
        <is>
          <t>2-1 台数を 15（リースの構成は12台＋3台）</t>
        </is>
      </c>
    </row>
    <row r="12" ht="17.5" customHeight="1">
      <c r="A12" s="67" t="inlineStr">
        <is>
          <t>全編をクラウドで解析</t>
        </is>
      </c>
      <c r="B12" s="68" t="inlineStr">
        <is>
          <t>やってはいけない例</t>
        </is>
      </c>
      <c r="C12" s="64" t="inlineStr">
        <is>
          <t>5年でなし</t>
        </is>
      </c>
      <c r="D12" s="64" t="inlineStr">
        <is>
          <t>10年でなし</t>
        </is>
      </c>
      <c r="E12" s="65" t="n">
        <v>-35173</v>
      </c>
      <c r="F12" s="65" t="n">
        <v>-63104.5</v>
      </c>
      <c r="G12" s="65" t="n">
        <v>-374590.5</v>
      </c>
      <c r="H12" s="66" t="inlineStr">
        <is>
          <t>10年でなし</t>
        </is>
      </c>
      <c r="I12" s="19" t="inlineStr">
        <is>
          <t>8-3 原価の倍率を 60÷7.2（1台 月5万円）</t>
        </is>
      </c>
    </row>
    <row r="13" ht="31" customHeight="1">
      <c r="A13" s="7" t="inlineStr">
        <is>
          <t>営業の採用を3年目から</t>
        </is>
      </c>
      <c r="B13" s="8" t="inlineStr">
        <is>
          <t>営業の立ち上げを遅らせる</t>
        </is>
      </c>
      <c r="C13" s="64" t="inlineStr">
        <is>
          <t>5年でなし</t>
        </is>
      </c>
      <c r="D13" s="64" t="n">
        <v>6</v>
      </c>
      <c r="E13" s="65" t="n">
        <v>-1117.000000000002</v>
      </c>
      <c r="F13" s="65" t="n">
        <v>7503.499999999996</v>
      </c>
      <c r="G13" s="65" t="n">
        <v>7503.499999999996</v>
      </c>
      <c r="H13" s="66" t="n">
        <v>8</v>
      </c>
      <c r="I13" s="19" t="inlineStr">
        <is>
          <t>6-14 営業の人数を 0,0,1,3,3（2年目の採用をやめる）</t>
        </is>
      </c>
    </row>
    <row r="15" ht="17.5" customHeight="1">
      <c r="A15" s="2" t="inlineStr">
        <is>
          <t>注：計画の余裕は小さい。1拠点10台のままでは5年以内に黒字にならず、値引き・解約の増加・AI費用の増加・年収の上昇はどれも赤字を広げ、最低の現金がマイナスになるものもある。</t>
        </is>
      </c>
    </row>
    <row r="16" ht="17.5" customHeight="1">
      <c r="A16" s="2" t="inlineStr">
        <is>
          <t>注：特に危ないのは、動画を全部クラウドで解析する使い方と、獲得が遅れているのに計画どおり採用すること。守りは、1拠点の台数を増やすことと、採用を拠点数に合わせて遅らせること。</t>
        </is>
      </c>
    </row>
    <row r="17" ht="17.5" customHeight="1">
      <c r="A17" s="2" t="inlineStr">
        <is>
          <t>注：営業の採用を3年目からにすると、2年目の人件費780万円と採用費が浮き、最低の現金は約780万円増える。5年目の営業利益は変わらない（拠点の計画を変えていないため）。</t>
        </is>
      </c>
    </row>
    <row r="18" ht="17.5" customHeight="1">
      <c r="A18" s="2" t="inlineStr">
        <is>
          <t>注：黒字化の年は数字（緑）、「なし」は期間内に黒字にならないこと。マイナスは▲（赤）。</t>
        </is>
      </c>
    </row>
  </sheetData>
  <mergeCells count="5">
    <mergeCell ref="A15:I15"/>
    <mergeCell ref="A2:I2"/>
    <mergeCell ref="A17:I17"/>
    <mergeCell ref="A18:I18"/>
    <mergeCell ref="A16:I16"/>
  </mergeCells>
  <conditionalFormatting sqref="C4:D13">
    <cfRule type="expression" priority="1" dxfId="1">
      <formula>AND(ISNUMBER(C4),C4&gt;0)</formula>
    </cfRule>
  </conditionalFormatting>
  <conditionalFormatting sqref="C4:H19">
    <cfRule type="cellIs" priority="2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60" customWidth="1" min="13" max="13"/>
  </cols>
  <sheetData>
    <row r="1" ht="24" customHeight="1">
      <c r="A1" s="1" t="inlineStr">
        <is>
          <t>資金と黒字倒産：自己資金は段階に分けて入れる。黒字でも現金が尽きる場合を先に見る</t>
        </is>
      </c>
    </row>
    <row r="2" ht="17.5" customHeight="1">
      <c r="A2" s="2" t="inlineStr">
        <is>
          <t>資金投入は準備期500万円＋1年目2億円＋3年目5,000万円。このモデルは運転資本・税・償却を含まない簡易計算。下の①〜④は、簡易計算の現金からさらに出ていく額を年ごとに見たもの（計算詳細版 p.23）。</t>
        </is>
      </c>
    </row>
    <row r="3" ht="30" customHeight="1">
      <c r="A3" s="5" t="inlineStr">
        <is>
          <t>項目</t>
        </is>
      </c>
      <c r="B3" s="5" t="inlineStr">
        <is>
          <t>単位</t>
        </is>
      </c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" t="inlineStr">
        <is>
          <t>式（言葉）</t>
        </is>
      </c>
    </row>
    <row r="4" ht="19" customHeight="1">
      <c r="A4" s="3" t="inlineStr">
        <is>
          <t>資金と現金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17.5" customHeight="1">
      <c r="A5" s="7" t="inlineStr">
        <is>
          <t>資金投入</t>
        </is>
      </c>
      <c r="B5" s="8" t="inlineStr">
        <is>
          <t>万円/年</t>
        </is>
      </c>
      <c r="C5" s="22">
        <f>'前提'!$E$133</f>
        <v>20000</v>
      </c>
      <c r="D5" s="22">
        <f>'前提'!$F$133</f>
        <v>0</v>
      </c>
      <c r="E5" s="22">
        <f>'前提'!$G$133</f>
        <v>5000</v>
      </c>
      <c r="F5" s="22">
        <f>'前提'!$H$133</f>
        <v>0</v>
      </c>
      <c r="G5" s="22">
        <f>'前提'!$I$133</f>
        <v>0</v>
      </c>
      <c r="H5" s="22">
        <f>'前提'!$J$133</f>
        <v>0</v>
      </c>
      <c r="I5" s="22">
        <f>'前提'!$K$133</f>
        <v>0</v>
      </c>
      <c r="J5" s="22">
        <f>'前提'!$L$133</f>
        <v>0</v>
      </c>
      <c r="K5" s="22">
        <f>'前提'!$M$133</f>
        <v>0</v>
      </c>
      <c r="L5" s="22">
        <f>'前提'!$N$133</f>
        <v>0</v>
      </c>
      <c r="M5" s="37" t="inlineStr">
        <is>
          <t>前提7-16</t>
        </is>
      </c>
    </row>
    <row r="6" ht="17.5" customHeight="1">
      <c r="A6" s="7" t="inlineStr">
        <is>
          <t>営業利益</t>
        </is>
      </c>
      <c r="B6" s="8" t="inlineStr">
        <is>
          <t>万円/年</t>
        </is>
      </c>
      <c r="C6" s="53">
        <f>'損益と現金'!$C$27</f>
        <v>-4843.5</v>
      </c>
      <c r="D6" s="53">
        <f>'損益と現金'!$D$27</f>
        <v>-4762.5</v>
      </c>
      <c r="E6" s="53">
        <f>'損益と現金'!$E$27</f>
        <v>-3696.5</v>
      </c>
      <c r="F6" s="53">
        <f>'損益と現金'!$F$27</f>
        <v>-3857</v>
      </c>
      <c r="G6" s="53">
        <f>'損益と現金'!$G$27</f>
        <v>-1117</v>
      </c>
      <c r="H6" s="53">
        <f>'損益と現金'!$H$27</f>
        <v>4522</v>
      </c>
      <c r="I6" s="53">
        <f>'損益と現金'!$I$27</f>
        <v>7883</v>
      </c>
      <c r="J6" s="53">
        <f>'損益と現金'!$J$27</f>
        <v>12005.5</v>
      </c>
      <c r="K6" s="53">
        <f>'損益と現金'!$K$27</f>
        <v>16307</v>
      </c>
      <c r="L6" s="53">
        <f>'損益と現金'!$L$27</f>
        <v>18980.5</v>
      </c>
      <c r="M6" s="37" t="inlineStr">
        <is>
          <t>損益と現金</t>
        </is>
      </c>
    </row>
    <row r="7" ht="17.5" customHeight="1">
      <c r="A7" s="6" t="inlineStr">
        <is>
          <t>期末の現金（簡易計算）</t>
        </is>
      </c>
      <c r="B7" s="8" t="inlineStr">
        <is>
          <t>万円</t>
        </is>
      </c>
      <c r="C7" s="55">
        <f>'損益と現金'!$C$30</f>
        <v>15156.5</v>
      </c>
      <c r="D7" s="55">
        <f>'損益と現金'!$D$30</f>
        <v>10394</v>
      </c>
      <c r="E7" s="55">
        <f>'損益と現金'!$E$30</f>
        <v>11697.5</v>
      </c>
      <c r="F7" s="55">
        <f>'損益と現金'!$F$30</f>
        <v>7840.5</v>
      </c>
      <c r="G7" s="55">
        <f>'損益と現金'!$G$30</f>
        <v>6723.5</v>
      </c>
      <c r="H7" s="55">
        <f>'損益と現金'!$H$30</f>
        <v>11245.5</v>
      </c>
      <c r="I7" s="55">
        <f>'損益と現金'!$I$30</f>
        <v>19128.5</v>
      </c>
      <c r="J7" s="55">
        <f>'損益と現金'!$J$30</f>
        <v>31134</v>
      </c>
      <c r="K7" s="55">
        <f>'損益と現金'!$K$30</f>
        <v>47441</v>
      </c>
      <c r="L7" s="55">
        <f>'損益と現金'!$L$30</f>
        <v>66421.5</v>
      </c>
      <c r="M7" s="37" t="inlineStr">
        <is>
          <t>損益と現金</t>
        </is>
      </c>
    </row>
    <row r="8" ht="31" customHeight="1">
      <c r="A8" s="7" t="inlineStr">
        <is>
          <t>最低残高の目安（その年の販管費の3か月分）</t>
        </is>
      </c>
      <c r="B8" s="8" t="inlineStr">
        <is>
          <t>万円</t>
        </is>
      </c>
      <c r="C8" s="53">
        <f>'損益と現金'!$C$25*'前提'!$E$137/'前提'!$E$6</f>
        <v>1289.375</v>
      </c>
      <c r="D8" s="53">
        <f>'損益と現金'!$D$25*'前提'!$E$137/'前提'!$E$6</f>
        <v>1790.875</v>
      </c>
      <c r="E8" s="53">
        <f>'損益と現金'!$E$25*'前提'!$E$137/'前提'!$E$6</f>
        <v>2361.29166666667</v>
      </c>
      <c r="F8" s="53">
        <f>'損益と現金'!$F$25*'前提'!$E$137/'前提'!$E$6</f>
        <v>3541.33333333333</v>
      </c>
      <c r="G8" s="53">
        <f>'損益と現金'!$G$25*'前提'!$E$137/'前提'!$E$6</f>
        <v>4328.16666666667</v>
      </c>
      <c r="H8" s="53">
        <f>'損益と現金'!$H$25*'前提'!$E$137/'前提'!$E$6</f>
        <v>4397.83333333333</v>
      </c>
      <c r="I8" s="53">
        <f>'損益と現金'!$I$25*'前提'!$E$137/'前提'!$E$6</f>
        <v>4999.41666666667</v>
      </c>
      <c r="J8" s="53">
        <f>'損益と現金'!$J$25*'前提'!$E$137/'前提'!$E$6</f>
        <v>5356.625</v>
      </c>
      <c r="K8" s="53">
        <f>'損益と現金'!$K$25*'前提'!$E$137/'前提'!$E$6</f>
        <v>5585.58333333333</v>
      </c>
      <c r="L8" s="53">
        <f>'損益と現金'!$L$25*'前提'!$E$137/'前提'!$E$6</f>
        <v>6059.54166666667</v>
      </c>
      <c r="M8" s="37" t="inlineStr">
        <is>
          <t>販管費×3÷12</t>
        </is>
      </c>
    </row>
    <row r="9" ht="17.5" customHeight="1">
      <c r="A9" s="7" t="inlineStr">
        <is>
          <t>目安との差</t>
        </is>
      </c>
      <c r="B9" s="8" t="inlineStr">
        <is>
          <t>万円</t>
        </is>
      </c>
      <c r="C9" s="53">
        <f>$C$7-$C$8</f>
        <v>13867.125</v>
      </c>
      <c r="D9" s="53">
        <f>$D$7-$D$8</f>
        <v>8603.125</v>
      </c>
      <c r="E9" s="53">
        <f>$E$7-$E$8</f>
        <v>9336.20833333333</v>
      </c>
      <c r="F9" s="53">
        <f>$F$7-$F$8</f>
        <v>4299.16666666666</v>
      </c>
      <c r="G9" s="53">
        <f>$G$7-$G$8</f>
        <v>2395.33333333333</v>
      </c>
      <c r="H9" s="53">
        <f>$H$7-$H$8</f>
        <v>6847.66666666667</v>
      </c>
      <c r="I9" s="53">
        <f>$I$7-$I$8</f>
        <v>14129.0833333333</v>
      </c>
      <c r="J9" s="53">
        <f>$J$7-$J$8</f>
        <v>25777.375</v>
      </c>
      <c r="K9" s="53">
        <f>$K$7-$K$8</f>
        <v>41855.4166666667</v>
      </c>
      <c r="L9" s="53">
        <f>$L$7-$L$8</f>
        <v>60361.9583333333</v>
      </c>
      <c r="M9" s="37" t="inlineStr">
        <is>
          <t>期末の現金−最低残高の目安</t>
        </is>
      </c>
    </row>
    <row r="10" ht="17.5" customHeight="1">
      <c r="A10" s="6" t="inlineStr">
        <is>
          <t>準備期の資金</t>
        </is>
      </c>
      <c r="B10" s="33" t="inlineStr">
        <is>
          <t>万円</t>
        </is>
      </c>
      <c r="C10" s="43">
        <f>'前提'!$E$134</f>
        <v>500</v>
      </c>
      <c r="D10" s="37" t="inlineStr">
        <is>
          <t>試作品・実証。準備期に使い切る</t>
        </is>
      </c>
    </row>
    <row r="11" ht="17.5" customHeight="1">
      <c r="A11" s="6" t="inlineStr">
        <is>
          <t>資金投入の合計（準備期を含む）</t>
        </is>
      </c>
      <c r="B11" s="33" t="inlineStr">
        <is>
          <t>万円</t>
        </is>
      </c>
      <c r="C11" s="43">
        <f>$C$10+SUM('前提'!$E$133:$N$133)</f>
        <v>25500</v>
      </c>
      <c r="D11" s="37" t="inlineStr">
        <is>
          <t>500＋2億＋5,000万＝2.55億円</t>
        </is>
      </c>
    </row>
    <row r="12" ht="17.5" customHeight="1">
      <c r="A12" s="6" t="inlineStr">
        <is>
          <t>最低の現金（10年）</t>
        </is>
      </c>
      <c r="B12" s="33" t="inlineStr">
        <is>
          <t>万円</t>
        </is>
      </c>
      <c r="C12" s="50">
        <f>'損益と現金'!$C$37</f>
        <v>6723.5</v>
      </c>
      <c r="D12" s="37" t="inlineStr">
        <is>
          <t>損益と現金</t>
        </is>
      </c>
    </row>
    <row r="13" ht="17.5" customHeight="1">
      <c r="A13" s="7" t="inlineStr">
        <is>
          <t>参考：4年目の販管費の3か月分</t>
        </is>
      </c>
      <c r="B13" s="33" t="inlineStr">
        <is>
          <t>万円</t>
        </is>
      </c>
      <c r="C13" s="38">
        <f>INDEX('損益と現金'!$C$25:$L$25,1,4)*'前提'!$E$137/'前提'!$E$6</f>
        <v>3541.33333333333</v>
      </c>
      <c r="D13" s="37" t="inlineStr">
        <is>
          <t>計算詳細版 p.21・23 の最低現金のライン</t>
        </is>
      </c>
    </row>
    <row r="14" ht="19" customHeight="1">
      <c r="A14" s="3" t="inlineStr">
        <is>
          <t>① 売掛の回収が遅い（月額の後払い・支払いサイト60日）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7.5" customHeight="1">
      <c r="A15" s="7" t="inlineStr">
        <is>
          <t>売掛金の残高（年末）</t>
        </is>
      </c>
      <c r="B15" s="8" t="inlineStr">
        <is>
          <t>万円</t>
        </is>
      </c>
      <c r="C15" s="53">
        <f>'拠点と売上'!$C$22*'前提'!$E$154/'前提'!$E$8</f>
        <v>197.260273972603</v>
      </c>
      <c r="D15" s="53">
        <f>'拠点と売上'!$D$22*'前提'!$E$154/'前提'!$E$8</f>
        <v>789.041095890411</v>
      </c>
      <c r="E15" s="53">
        <f>'拠点と売上'!$E$22*'前提'!$E$154/'前提'!$E$8</f>
        <v>1758.90410958904</v>
      </c>
      <c r="F15" s="53">
        <f>'拠点と売上'!$F$22*'前提'!$E$154/'前提'!$E$8</f>
        <v>2926.02739726027</v>
      </c>
      <c r="G15" s="53">
        <f>'拠点と売上'!$G$22*'前提'!$E$154/'前提'!$E$8</f>
        <v>4421.91780821918</v>
      </c>
      <c r="H15" s="53">
        <f>'拠点と売上'!$H$22*'前提'!$E$154/'前提'!$E$8</f>
        <v>5835.61643835616</v>
      </c>
      <c r="I15" s="53">
        <f>'拠点と売上'!$I$22*'前提'!$E$154/'前提'!$E$8</f>
        <v>7200</v>
      </c>
      <c r="J15" s="53">
        <f>'拠点と売上'!$J$22*'前提'!$E$154/'前提'!$E$8</f>
        <v>8515.06849315069</v>
      </c>
      <c r="K15" s="53">
        <f>'拠点と売上'!$K$22*'前提'!$E$154/'前提'!$E$8</f>
        <v>9715.06849315069</v>
      </c>
      <c r="L15" s="53">
        <f>'拠点と売上'!$L$22*'前提'!$E$154/'前提'!$E$8</f>
        <v>10767.1232876712</v>
      </c>
      <c r="M15" s="37" t="inlineStr">
        <is>
          <t>売上×60÷365</t>
        </is>
      </c>
    </row>
    <row r="16" ht="17.5" customHeight="1">
      <c r="A16" s="7" t="inlineStr">
        <is>
          <t>その年に増えた売掛（現金が減る額）</t>
        </is>
      </c>
      <c r="B16" s="8" t="inlineStr">
        <is>
          <t>万円/年</t>
        </is>
      </c>
      <c r="C16" s="53">
        <f>$C$15</f>
        <v>197.260273972603</v>
      </c>
      <c r="D16" s="53">
        <f>$D$15-$C$15</f>
        <v>591.780821917808</v>
      </c>
      <c r="E16" s="53">
        <f>$E$15-$D$15</f>
        <v>969.86301369863</v>
      </c>
      <c r="F16" s="53">
        <f>$F$15-$E$15</f>
        <v>1167.12328767123</v>
      </c>
      <c r="G16" s="53">
        <f>$G$15-$F$15</f>
        <v>1495.8904109589</v>
      </c>
      <c r="H16" s="53">
        <f>$H$15-$G$15</f>
        <v>1413.69863013699</v>
      </c>
      <c r="I16" s="53">
        <f>$I$15-$H$15</f>
        <v>1364.38356164384</v>
      </c>
      <c r="J16" s="53">
        <f>$J$15-$I$15</f>
        <v>1315.06849315069</v>
      </c>
      <c r="K16" s="53">
        <f>$K$15-$J$15</f>
        <v>1200</v>
      </c>
      <c r="L16" s="53">
        <f>$L$15-$K$15</f>
        <v>1052.05479452055</v>
      </c>
      <c r="M16" s="37" t="inlineStr">
        <is>
          <t>今年の残高−前の年の残高</t>
        </is>
      </c>
    </row>
    <row r="17" ht="17.5" customHeight="1">
      <c r="A17" s="6" t="inlineStr">
        <is>
          <t>売掛を引いた現金</t>
        </is>
      </c>
      <c r="B17" s="8" t="inlineStr">
        <is>
          <t>万円</t>
        </is>
      </c>
      <c r="C17" s="55">
        <f>$C$7-$C$15</f>
        <v>14959.2397260274</v>
      </c>
      <c r="D17" s="55">
        <f>$D$7-$D$15</f>
        <v>9604.95890410959</v>
      </c>
      <c r="E17" s="55">
        <f>$E$7-$E$15</f>
        <v>9938.59589041096</v>
      </c>
      <c r="F17" s="55">
        <f>$F$7-$F$15</f>
        <v>4914.47260273973</v>
      </c>
      <c r="G17" s="55">
        <f>$G$7-$G$15</f>
        <v>2301.58219178082</v>
      </c>
      <c r="H17" s="55">
        <f>$H$7-$H$15</f>
        <v>5409.88356164384</v>
      </c>
      <c r="I17" s="55">
        <f>$I$7-$I$15</f>
        <v>11928.5</v>
      </c>
      <c r="J17" s="55">
        <f>$J$7-$J$15</f>
        <v>22618.9315068493</v>
      </c>
      <c r="K17" s="55">
        <f>$K$7-$K$15</f>
        <v>37725.9315068493</v>
      </c>
      <c r="L17" s="55">
        <f>$L$7-$L$15</f>
        <v>55654.3767123288</v>
      </c>
      <c r="M17" s="37" t="inlineStr">
        <is>
          <t>期末の現金−売掛金の残高</t>
        </is>
      </c>
    </row>
    <row r="18" ht="19" customHeight="1">
      <c r="A18" s="3" t="inlineStr">
        <is>
          <t>② 採用の先行（拠点が増える前に人件費が出る）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17.5" customHeight="1">
      <c r="A19" s="7" t="inlineStr">
        <is>
          <t>翌年の人件費の増加</t>
        </is>
      </c>
      <c r="B19" s="8" t="inlineStr">
        <is>
          <t>万円</t>
        </is>
      </c>
      <c r="C19" s="22">
        <f>'体制と人件費'!$D$48-'体制と人件費'!$C$48</f>
        <v>2604</v>
      </c>
      <c r="D19" s="22">
        <f>'体制と人件費'!$E$48-'体制と人件費'!$D$48</f>
        <v>3204</v>
      </c>
      <c r="E19" s="22">
        <f>'体制と人件費'!$F$48-'体制と人件費'!$E$48</f>
        <v>4800</v>
      </c>
      <c r="F19" s="22">
        <f>'体制と人件費'!$G$48-'体制と人件費'!$F$48</f>
        <v>3840</v>
      </c>
      <c r="G19" s="22">
        <f>'体制と人件費'!$H$48-'体制と人件費'!$G$48</f>
        <v>960</v>
      </c>
      <c r="H19" s="22">
        <f>'体制と人件費'!$I$48-'体制と人件費'!$H$48</f>
        <v>2280</v>
      </c>
      <c r="I19" s="22">
        <f>'体制と人件費'!$J$48-'体制と人件費'!$I$48</f>
        <v>1620</v>
      </c>
      <c r="J19" s="22">
        <f>'体制と人件費'!$K$48-'体制と人件費'!$J$48</f>
        <v>840</v>
      </c>
      <c r="K19" s="22">
        <f>'体制と人件費'!$L$48-'体制と人件費'!$K$48</f>
        <v>1740</v>
      </c>
      <c r="L19" s="69" t="inlineStr">
        <is>
          <t>─</t>
        </is>
      </c>
      <c r="M19" s="37" t="inlineStr">
        <is>
          <t>翌年の人件費−その年の人件費（10年目は翌年の計画がないので「─」）</t>
        </is>
      </c>
    </row>
    <row r="20" ht="17.5" customHeight="1">
      <c r="A20" s="7" t="inlineStr">
        <is>
          <t>先に出る人件費</t>
        </is>
      </c>
      <c r="B20" s="8" t="inlineStr">
        <is>
          <t>万円</t>
        </is>
      </c>
      <c r="C20" s="53">
        <f>MAX(0,$C$19)*'前提'!$E$155/'前提'!$E$6</f>
        <v>651</v>
      </c>
      <c r="D20" s="53">
        <f>MAX(0,$D$19)*'前提'!$E$155/'前提'!$E$6</f>
        <v>801</v>
      </c>
      <c r="E20" s="53">
        <f>MAX(0,$E$19)*'前提'!$E$155/'前提'!$E$6</f>
        <v>1200</v>
      </c>
      <c r="F20" s="53">
        <f>MAX(0,$F$19)*'前提'!$E$155/'前提'!$E$6</f>
        <v>960</v>
      </c>
      <c r="G20" s="53">
        <f>MAX(0,$G$19)*'前提'!$E$155/'前提'!$E$6</f>
        <v>240</v>
      </c>
      <c r="H20" s="53">
        <f>MAX(0,$H$19)*'前提'!$E$155/'前提'!$E$6</f>
        <v>570</v>
      </c>
      <c r="I20" s="53">
        <f>MAX(0,$I$19)*'前提'!$E$155/'前提'!$E$6</f>
        <v>405</v>
      </c>
      <c r="J20" s="53">
        <f>MAX(0,$J$19)*'前提'!$E$155/'前提'!$E$6</f>
        <v>210</v>
      </c>
      <c r="K20" s="53">
        <f>MAX(0,$K$19)*'前提'!$E$155/'前提'!$E$6</f>
        <v>435</v>
      </c>
      <c r="L20" s="69" t="inlineStr">
        <is>
          <t>─</t>
        </is>
      </c>
      <c r="M20" s="37" t="inlineStr">
        <is>
          <t>翌年の増加×3か月÷12</t>
        </is>
      </c>
    </row>
    <row r="21" ht="17.5" customHeight="1">
      <c r="A21" s="6" t="inlineStr">
        <is>
          <t>先行分を引いた現金</t>
        </is>
      </c>
      <c r="B21" s="8" t="inlineStr">
        <is>
          <t>万円</t>
        </is>
      </c>
      <c r="C21" s="55">
        <f>$C$7-$C$20</f>
        <v>14505.5</v>
      </c>
      <c r="D21" s="55">
        <f>$D$7-$D$20</f>
        <v>9593</v>
      </c>
      <c r="E21" s="55">
        <f>$E$7-$E$20</f>
        <v>10497.5</v>
      </c>
      <c r="F21" s="55">
        <f>$F$7-$F$20</f>
        <v>6880.5</v>
      </c>
      <c r="G21" s="55">
        <f>$G$7-$G$20</f>
        <v>6483.5</v>
      </c>
      <c r="H21" s="55">
        <f>$H$7-$H$20</f>
        <v>10675.5</v>
      </c>
      <c r="I21" s="55">
        <f>$I$7-$I$20</f>
        <v>18723.5</v>
      </c>
      <c r="J21" s="55">
        <f>$J$7-$J$20</f>
        <v>30924</v>
      </c>
      <c r="K21" s="55">
        <f>$K$7-$K$20</f>
        <v>47006</v>
      </c>
      <c r="L21" s="69" t="inlineStr">
        <is>
          <t>─</t>
        </is>
      </c>
      <c r="M21" s="37" t="inlineStr">
        <is>
          <t>期末の現金−先に出る人件費</t>
        </is>
      </c>
    </row>
    <row r="22" ht="19" customHeight="1">
      <c r="A22" s="3" t="inlineStr">
        <is>
          <t>③ 端末込みの料金にした場合の端末の先払い（3年目から）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17.5" customHeight="1">
      <c r="A23" s="7" t="inlineStr">
        <is>
          <t>新しく買う端末</t>
        </is>
      </c>
      <c r="B23" s="8" t="inlineStr">
        <is>
          <t>台</t>
        </is>
      </c>
      <c r="C23" s="22">
        <f>IF(C$3&gt;='前提'!$E$156,'拠点と売上'!$C$8*'前提'!$E$21,0)</f>
        <v>0</v>
      </c>
      <c r="D23" s="22">
        <f>IF(D$3&gt;='前提'!$E$156,'拠点と売上'!$D$8*'前提'!$E$21,0)</f>
        <v>0</v>
      </c>
      <c r="E23" s="22">
        <f>IF(E$3&gt;='前提'!$E$156,'拠点と売上'!$E$8*'前提'!$E$21,0)</f>
        <v>180</v>
      </c>
      <c r="F23" s="22">
        <f>IF(F$3&gt;='前提'!$E$156,'拠点と売上'!$F$8*'前提'!$E$21,0)</f>
        <v>270</v>
      </c>
      <c r="G23" s="22">
        <f>IF(G$3&gt;='前提'!$E$156,'拠点と売上'!$G$8*'前提'!$E$21,0)</f>
        <v>330</v>
      </c>
      <c r="H23" s="22">
        <f>IF(H$3&gt;='前提'!$E$156,'拠点と売上'!$H$8*'前提'!$E$21,0)</f>
        <v>360</v>
      </c>
      <c r="I23" s="22">
        <f>IF(I$3&gt;='前提'!$E$156,'拠点と売上'!$I$8*'前提'!$E$21,0)</f>
        <v>380</v>
      </c>
      <c r="J23" s="22">
        <f>IF(J$3&gt;='前提'!$E$156,'拠点と売上'!$J$8*'前提'!$E$21,0)</f>
        <v>400</v>
      </c>
      <c r="K23" s="22">
        <f>IF(K$3&gt;='前提'!$E$156,'拠点と売上'!$K$8*'前提'!$E$21,0)</f>
        <v>400</v>
      </c>
      <c r="L23" s="22">
        <f>IF(L$3&gt;='前提'!$E$156,'拠点と売上'!$L$8*'前提'!$E$21,0)</f>
        <v>400</v>
      </c>
      <c r="M23" s="37" t="inlineStr">
        <is>
          <t>3年目から 新規拠点×10台</t>
        </is>
      </c>
    </row>
    <row r="24" ht="17.5" customHeight="1">
      <c r="A24" s="7" t="inlineStr">
        <is>
          <t>端末の先払い</t>
        </is>
      </c>
      <c r="B24" s="8" t="inlineStr">
        <is>
          <t>万円/年</t>
        </is>
      </c>
      <c r="C24" s="22">
        <f>$C$23*'前提'!$E$157</f>
        <v>0</v>
      </c>
      <c r="D24" s="22">
        <f>$D$23*'前提'!$E$157</f>
        <v>0</v>
      </c>
      <c r="E24" s="22">
        <f>$E$23*'前提'!$E$157</f>
        <v>1440</v>
      </c>
      <c r="F24" s="22">
        <f>$F$23*'前提'!$E$157</f>
        <v>2160</v>
      </c>
      <c r="G24" s="22">
        <f>$G$23*'前提'!$E$157</f>
        <v>2640</v>
      </c>
      <c r="H24" s="22">
        <f>$H$23*'前提'!$E$157</f>
        <v>2880</v>
      </c>
      <c r="I24" s="22">
        <f>$I$23*'前提'!$E$157</f>
        <v>3040</v>
      </c>
      <c r="J24" s="22">
        <f>$J$23*'前提'!$E$157</f>
        <v>3200</v>
      </c>
      <c r="K24" s="22">
        <f>$K$23*'前提'!$E$157</f>
        <v>3200</v>
      </c>
      <c r="L24" s="22">
        <f>$L$23*'前提'!$E$157</f>
        <v>3200</v>
      </c>
      <c r="M24" s="37" t="inlineStr">
        <is>
          <t>新しく買う端末×8万円</t>
        </is>
      </c>
    </row>
    <row r="25" ht="31" customHeight="1">
      <c r="A25" s="7" t="inlineStr">
        <is>
          <t>まだ回収していない端末代（年末）</t>
        </is>
      </c>
      <c r="B25" s="8" t="inlineStr">
        <is>
          <t>万円</t>
        </is>
      </c>
      <c r="C25" s="53">
        <f>$C$24*MAX(0,1-0/'前提'!$E$158)</f>
        <v>0</v>
      </c>
      <c r="D25" s="53">
        <f>$D$24*MAX(0,1-0/'前提'!$E$158)+$C$24*MAX(0,1-1/'前提'!$E$158)</f>
        <v>0</v>
      </c>
      <c r="E25" s="53">
        <f>$E$24*MAX(0,1-0/'前提'!$E$158)+$D$24*MAX(0,1-1/'前提'!$E$158)+$C$24*MAX(0,1-2/'前提'!$E$158)</f>
        <v>1440</v>
      </c>
      <c r="F25" s="53">
        <f>$F$24*MAX(0,1-0/'前提'!$E$158)+$E$24*MAX(0,1-1/'前提'!$E$158)+$D$24*MAX(0,1-2/'前提'!$E$158)+$C$24*MAX(0,1-3/'前提'!$E$158)</f>
        <v>3120</v>
      </c>
      <c r="G25" s="53">
        <f>$G$24*MAX(0,1-0/'前提'!$E$158)+$F$24*MAX(0,1-1/'前提'!$E$158)+$E$24*MAX(0,1-2/'前提'!$E$158)+$D$24*MAX(0,1-3/'前提'!$E$158)</f>
        <v>4560</v>
      </c>
      <c r="H25" s="53">
        <f>$H$24*MAX(0,1-0/'前提'!$E$158)+$G$24*MAX(0,1-1/'前提'!$E$158)+$F$24*MAX(0,1-2/'前提'!$E$158)+$E$24*MAX(0,1-3/'前提'!$E$158)</f>
        <v>5360</v>
      </c>
      <c r="I25" s="53">
        <f>$I$24*MAX(0,1-0/'前提'!$E$158)+$H$24*MAX(0,1-1/'前提'!$E$158)+$G$24*MAX(0,1-2/'前提'!$E$158)+$F$24*MAX(0,1-3/'前提'!$E$158)</f>
        <v>5840</v>
      </c>
      <c r="J25" s="53">
        <f>$J$24*MAX(0,1-0/'前提'!$E$158)+$I$24*MAX(0,1-1/'前提'!$E$158)+$H$24*MAX(0,1-2/'前提'!$E$158)+$G$24*MAX(0,1-3/'前提'!$E$158)</f>
        <v>6186.66666666667</v>
      </c>
      <c r="K25" s="53">
        <f>$K$24*MAX(0,1-0/'前提'!$E$158)+$J$24*MAX(0,1-1/'前提'!$E$158)+$I$24*MAX(0,1-2/'前提'!$E$158)+$H$24*MAX(0,1-3/'前提'!$E$158)</f>
        <v>6346.66666666667</v>
      </c>
      <c r="L25" s="53">
        <f>$L$24*MAX(0,1-0/'前提'!$E$158)+$K$24*MAX(0,1-1/'前提'!$E$158)+$J$24*MAX(0,1-2/'前提'!$E$158)+$I$24*MAX(0,1-3/'前提'!$E$158)</f>
        <v>6400</v>
      </c>
      <c r="M25" s="37" t="inlineStr">
        <is>
          <t>その年に買った分＋1年前の分×(1−1/3)＋2年前の分×(1−2/3)（翌年から3年で均等に回収）</t>
        </is>
      </c>
    </row>
    <row r="26" ht="17.5" customHeight="1">
      <c r="A26" s="6" t="inlineStr">
        <is>
          <t>未回収分を引いた現金</t>
        </is>
      </c>
      <c r="B26" s="8" t="inlineStr">
        <is>
          <t>万円</t>
        </is>
      </c>
      <c r="C26" s="55">
        <f>$C$7-$C$25</f>
        <v>15156.5</v>
      </c>
      <c r="D26" s="55">
        <f>$D$7-$D$25</f>
        <v>10394</v>
      </c>
      <c r="E26" s="55">
        <f>$E$7-$E$25</f>
        <v>10257.5</v>
      </c>
      <c r="F26" s="55">
        <f>$F$7-$F$25</f>
        <v>4720.5</v>
      </c>
      <c r="G26" s="55">
        <f>$G$7-$G$25</f>
        <v>2163.5</v>
      </c>
      <c r="H26" s="55">
        <f>$H$7-$H$25</f>
        <v>5885.5</v>
      </c>
      <c r="I26" s="55">
        <f>$I$7-$I$25</f>
        <v>13288.5</v>
      </c>
      <c r="J26" s="55">
        <f>$J$7-$J$25</f>
        <v>24947.3333333333</v>
      </c>
      <c r="K26" s="55">
        <f>$K$7-$K$25</f>
        <v>41094.3333333333</v>
      </c>
      <c r="L26" s="55">
        <f>$L$7-$L$25</f>
        <v>60021.5</v>
      </c>
      <c r="M26" s="37" t="inlineStr">
        <is>
          <t>期末の現金−まだ回収していない端末代</t>
        </is>
      </c>
    </row>
    <row r="27" ht="19" customHeight="1">
      <c r="A27" s="3" t="inlineStr">
        <is>
          <t>④ 急な拠点増で導入支援の人件費が先に出る（新規が計画より5割多い場合）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17.5" customHeight="1">
      <c r="A28" s="7" t="inlineStr">
        <is>
          <t>計画より多い新規拠点</t>
        </is>
      </c>
      <c r="B28" s="8" t="inlineStr">
        <is>
          <t>拠点</t>
        </is>
      </c>
      <c r="C28" s="53">
        <f>'拠点と売上'!$C$8*'前提'!$E$159</f>
        <v>1.5</v>
      </c>
      <c r="D28" s="53">
        <f>'拠点と売上'!$D$8*'前提'!$E$159</f>
        <v>4.5</v>
      </c>
      <c r="E28" s="53">
        <f>'拠点と売上'!$E$8*'前提'!$E$159</f>
        <v>9</v>
      </c>
      <c r="F28" s="53">
        <f>'拠点と売上'!$F$8*'前提'!$E$159</f>
        <v>13.5</v>
      </c>
      <c r="G28" s="53">
        <f>'拠点と売上'!$G$8*'前提'!$E$159</f>
        <v>16.5</v>
      </c>
      <c r="H28" s="53">
        <f>'拠点と売上'!$H$8*'前提'!$E$159</f>
        <v>18</v>
      </c>
      <c r="I28" s="53">
        <f>'拠点と売上'!$I$8*'前提'!$E$159</f>
        <v>19</v>
      </c>
      <c r="J28" s="53">
        <f>'拠点と売上'!$J$8*'前提'!$E$159</f>
        <v>20</v>
      </c>
      <c r="K28" s="53">
        <f>'拠点と売上'!$K$8*'前提'!$E$159</f>
        <v>20</v>
      </c>
      <c r="L28" s="53">
        <f>'拠点と売上'!$L$8*'前提'!$E$159</f>
        <v>20</v>
      </c>
      <c r="M28" s="37" t="inlineStr">
        <is>
          <t>新規×50%</t>
        </is>
      </c>
    </row>
    <row r="29" ht="17.5" customHeight="1">
      <c r="A29" s="7" t="inlineStr">
        <is>
          <t>先に出る導入支援の原価</t>
        </is>
      </c>
      <c r="B29" s="8" t="inlineStr">
        <is>
          <t>万円</t>
        </is>
      </c>
      <c r="C29" s="53">
        <f>$C$28*'導入支援'!$C$19</f>
        <v>211.5</v>
      </c>
      <c r="D29" s="53">
        <f>$D$28*'導入支援'!$C$19</f>
        <v>634.5</v>
      </c>
      <c r="E29" s="53">
        <f>$E$28*'導入支援'!$C$19</f>
        <v>1269</v>
      </c>
      <c r="F29" s="53">
        <f>$F$28*'導入支援'!$C$19</f>
        <v>1903.5</v>
      </c>
      <c r="G29" s="53">
        <f>$G$28*'導入支援'!$C$19</f>
        <v>2326.5</v>
      </c>
      <c r="H29" s="53">
        <f>$H$28*'導入支援'!$C$19</f>
        <v>2538</v>
      </c>
      <c r="I29" s="53">
        <f>$I$28*'導入支援'!$C$19</f>
        <v>2679</v>
      </c>
      <c r="J29" s="53">
        <f>$J$28*'導入支援'!$C$19</f>
        <v>2820</v>
      </c>
      <c r="K29" s="53">
        <f>$K$28*'導入支援'!$C$19</f>
        <v>2820</v>
      </c>
      <c r="L29" s="53">
        <f>$L$28*'導入支援'!$C$19</f>
        <v>2820</v>
      </c>
      <c r="M29" s="37" t="inlineStr">
        <is>
          <t>多い新規×141万円</t>
        </is>
      </c>
    </row>
    <row r="30" ht="17.5" customHeight="1">
      <c r="A30" s="7" t="inlineStr">
        <is>
          <t>着手金で先に入る額</t>
        </is>
      </c>
      <c r="B30" s="8" t="inlineStr">
        <is>
          <t>万円</t>
        </is>
      </c>
      <c r="C30" s="53">
        <f>$C$28*'前提'!$E$25*'前提'!$E$160</f>
        <v>150</v>
      </c>
      <c r="D30" s="53">
        <f>$D$28*'前提'!$E$25*'前提'!$E$160</f>
        <v>450</v>
      </c>
      <c r="E30" s="53">
        <f>$E$28*'前提'!$E$25*'前提'!$E$160</f>
        <v>900</v>
      </c>
      <c r="F30" s="53">
        <f>$F$28*'前提'!$E$25*'前提'!$E$160</f>
        <v>1350</v>
      </c>
      <c r="G30" s="53">
        <f>$G$28*'前提'!$E$25*'前提'!$E$160</f>
        <v>1650</v>
      </c>
      <c r="H30" s="53">
        <f>$H$28*'前提'!$E$25*'前提'!$E$160</f>
        <v>1800</v>
      </c>
      <c r="I30" s="53">
        <f>$I$28*'前提'!$E$25*'前提'!$E$160</f>
        <v>1900</v>
      </c>
      <c r="J30" s="53">
        <f>$J$28*'前提'!$E$25*'前提'!$E$160</f>
        <v>2000</v>
      </c>
      <c r="K30" s="53">
        <f>$K$28*'前提'!$E$25*'前提'!$E$160</f>
        <v>2000</v>
      </c>
      <c r="L30" s="53">
        <f>$L$28*'前提'!$E$25*'前提'!$E$160</f>
        <v>2000</v>
      </c>
      <c r="M30" s="37" t="inlineStr">
        <is>
          <t>多い新規×200万円×50%</t>
        </is>
      </c>
    </row>
    <row r="31" ht="17.5" customHeight="1">
      <c r="A31" s="7" t="inlineStr">
        <is>
          <t>差し引き先に出る現金</t>
        </is>
      </c>
      <c r="B31" s="8" t="inlineStr">
        <is>
          <t>万円</t>
        </is>
      </c>
      <c r="C31" s="53">
        <f>$C$29-$C$30</f>
        <v>61.5</v>
      </c>
      <c r="D31" s="53">
        <f>$D$29-$D$30</f>
        <v>184.5</v>
      </c>
      <c r="E31" s="53">
        <f>$E$29-$E$30</f>
        <v>369</v>
      </c>
      <c r="F31" s="53">
        <f>$F$29-$F$30</f>
        <v>553.5</v>
      </c>
      <c r="G31" s="53">
        <f>$G$29-$G$30</f>
        <v>676.5</v>
      </c>
      <c r="H31" s="53">
        <f>$H$29-$H$30</f>
        <v>738</v>
      </c>
      <c r="I31" s="53">
        <f>$I$29-$I$30</f>
        <v>779</v>
      </c>
      <c r="J31" s="53">
        <f>$J$29-$J$30</f>
        <v>820</v>
      </c>
      <c r="K31" s="53">
        <f>$K$29-$K$30</f>
        <v>820</v>
      </c>
      <c r="L31" s="53">
        <f>$L$29-$L$30</f>
        <v>820</v>
      </c>
      <c r="M31" s="37" t="inlineStr">
        <is>
          <t>原価−着手金</t>
        </is>
      </c>
    </row>
    <row r="32" ht="17.5" customHeight="1">
      <c r="A32" s="7" t="inlineStr">
        <is>
          <t>追加で要る導入コンサルタント</t>
        </is>
      </c>
      <c r="B32" s="8" t="inlineStr">
        <is>
          <t>人</t>
        </is>
      </c>
      <c r="C32" s="53">
        <f>$C$28/'前提'!$E$90</f>
        <v>0.25</v>
      </c>
      <c r="D32" s="53">
        <f>$D$28/'前提'!$E$90</f>
        <v>0.75</v>
      </c>
      <c r="E32" s="53">
        <f>$E$28/'前提'!$E$90</f>
        <v>1.5</v>
      </c>
      <c r="F32" s="53">
        <f>$F$28/'前提'!$E$90</f>
        <v>2.25</v>
      </c>
      <c r="G32" s="53">
        <f>$G$28/'前提'!$E$90</f>
        <v>2.75</v>
      </c>
      <c r="H32" s="53">
        <f>$H$28/'前提'!$E$90</f>
        <v>3</v>
      </c>
      <c r="I32" s="53">
        <f>$I$28/'前提'!$E$90</f>
        <v>3.16666666666667</v>
      </c>
      <c r="J32" s="53">
        <f>$J$28/'前提'!$E$90</f>
        <v>3.33333333333333</v>
      </c>
      <c r="K32" s="53">
        <f>$K$28/'前提'!$E$90</f>
        <v>3.33333333333333</v>
      </c>
      <c r="L32" s="53">
        <f>$L$28/'前提'!$E$90</f>
        <v>3.33333333333333</v>
      </c>
      <c r="M32" s="37" t="inlineStr">
        <is>
          <t>多い新規÷6（採用はさらに先行する）</t>
        </is>
      </c>
    </row>
    <row r="33" ht="17.5" customHeight="1">
      <c r="A33" s="6" t="inlineStr">
        <is>
          <t>差し引きを引いた現金</t>
        </is>
      </c>
      <c r="B33" s="8" t="inlineStr">
        <is>
          <t>万円</t>
        </is>
      </c>
      <c r="C33" s="55">
        <f>$C$7-$C$31</f>
        <v>15095</v>
      </c>
      <c r="D33" s="55">
        <f>$D$7-$D$31</f>
        <v>10209.5</v>
      </c>
      <c r="E33" s="55">
        <f>$E$7-$E$31</f>
        <v>11328.5</v>
      </c>
      <c r="F33" s="55">
        <f>$F$7-$F$31</f>
        <v>7287</v>
      </c>
      <c r="G33" s="55">
        <f>$G$7-$G$31</f>
        <v>6047</v>
      </c>
      <c r="H33" s="55">
        <f>$H$7-$H$31</f>
        <v>10507.5</v>
      </c>
      <c r="I33" s="55">
        <f>$I$7-$I$31</f>
        <v>18349.5</v>
      </c>
      <c r="J33" s="55">
        <f>$J$7-$J$31</f>
        <v>30314</v>
      </c>
      <c r="K33" s="55">
        <f>$K$7-$K$31</f>
        <v>46621</v>
      </c>
      <c r="L33" s="55">
        <f>$L$7-$L$31</f>
        <v>65601.5</v>
      </c>
      <c r="M33" s="37" t="inlineStr">
        <is>
          <t>期末の現金−差し引き先に出る現金</t>
        </is>
      </c>
    </row>
    <row r="34" ht="19" customHeight="1">
      <c r="A34" s="3" t="inlineStr">
        <is>
          <t>①〜④のいちばん低い現金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17.5" customHeight="1">
      <c r="A35" s="6" t="inlineStr">
        <is>
          <t>① 売掛を引いた現金の最低</t>
        </is>
      </c>
      <c r="B35" s="33" t="inlineStr">
        <is>
          <t>万円</t>
        </is>
      </c>
      <c r="C35" s="50">
        <f>MIN($C$17:$L$17)</f>
        <v>2301.58219178082</v>
      </c>
      <c r="D35" s="37" t="inlineStr"/>
    </row>
    <row r="36" ht="17.5" customHeight="1">
      <c r="A36" s="6" t="inlineStr">
        <is>
          <t>② 先行分を引いた現金の最低</t>
        </is>
      </c>
      <c r="B36" s="33" t="inlineStr">
        <is>
          <t>万円</t>
        </is>
      </c>
      <c r="C36" s="50">
        <f>MIN($C$21:$K$21)</f>
        <v>6483.5</v>
      </c>
      <c r="D36" s="37" t="inlineStr">
        <is>
          <t>1〜9年目</t>
        </is>
      </c>
    </row>
    <row r="37" ht="17.5" customHeight="1">
      <c r="A37" s="6" t="inlineStr">
        <is>
          <t>③ 未回収分を引いた現金の最低</t>
        </is>
      </c>
      <c r="B37" s="33" t="inlineStr">
        <is>
          <t>万円</t>
        </is>
      </c>
      <c r="C37" s="50">
        <f>MIN($C$26:$L$26)</f>
        <v>2163.5</v>
      </c>
      <c r="D37" s="37" t="inlineStr"/>
    </row>
    <row r="38" ht="17.5" customHeight="1">
      <c r="A38" s="6" t="inlineStr">
        <is>
          <t>④ 差し引きを引いた現金の最低</t>
        </is>
      </c>
      <c r="B38" s="33" t="inlineStr">
        <is>
          <t>万円</t>
        </is>
      </c>
      <c r="C38" s="50">
        <f>MIN($C$33:$L$33)</f>
        <v>6047</v>
      </c>
      <c r="D38" s="37" t="inlineStr"/>
    </row>
    <row r="39" ht="31" customHeight="1">
      <c r="A39" s="7" t="inlineStr">
        <is>
          <t>① 最低残高の目安（販管費3か月分）を下回る年の数</t>
        </is>
      </c>
      <c r="B39" s="33" t="inlineStr">
        <is>
          <t>年</t>
        </is>
      </c>
      <c r="C39" s="32">
        <f>SUMPRODUCT(--($C$17:$L$17&lt;$C$8:$L$8))</f>
        <v>1</v>
      </c>
      <c r="D39" s="37" t="inlineStr">
        <is>
          <t>その年の販管費×3÷12 を下回る年を数える</t>
        </is>
      </c>
    </row>
    <row r="40" ht="31" customHeight="1">
      <c r="A40" s="7" t="inlineStr">
        <is>
          <t>② 最低残高の目安（販管費3か月分）を下回る年の数</t>
        </is>
      </c>
      <c r="B40" s="33" t="inlineStr">
        <is>
          <t>年</t>
        </is>
      </c>
      <c r="C40" s="32">
        <f>SUMPRODUCT(--($C$21:$K$21&lt;$C$8:$K$8))</f>
        <v>0</v>
      </c>
      <c r="D40" s="37" t="inlineStr">
        <is>
          <t>その年の販管費×3÷12 を下回る年を数える</t>
        </is>
      </c>
    </row>
    <row r="41" ht="31" customHeight="1">
      <c r="A41" s="7" t="inlineStr">
        <is>
          <t>③ 最低残高の目安（販管費3か月分）を下回る年の数</t>
        </is>
      </c>
      <c r="B41" s="33" t="inlineStr">
        <is>
          <t>年</t>
        </is>
      </c>
      <c r="C41" s="32">
        <f>SUMPRODUCT(--($C$26:$L$26&lt;$C$8:$L$8))</f>
        <v>1</v>
      </c>
      <c r="D41" s="37" t="inlineStr">
        <is>
          <t>その年の販管費×3÷12 を下回る年を数える</t>
        </is>
      </c>
    </row>
    <row r="42" ht="31" customHeight="1">
      <c r="A42" s="7" t="inlineStr">
        <is>
          <t>④ 最低残高の目安（販管費3か月分）を下回る年の数</t>
        </is>
      </c>
      <c r="B42" s="33" t="inlineStr">
        <is>
          <t>年</t>
        </is>
      </c>
      <c r="C42" s="32">
        <f>SUMPRODUCT(--($C$33:$L$33&lt;$C$8:$L$8))</f>
        <v>0</v>
      </c>
      <c r="D42" s="37" t="inlineStr">
        <is>
          <t>その年の販管費×3÷12 を下回る年を数える</t>
        </is>
      </c>
    </row>
    <row r="43" ht="19" customHeight="1">
      <c r="A43" s="3" t="inlineStr">
        <is>
          <t>黒字倒産が起こる場合と備え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17.5" customHeight="1">
      <c r="A44" s="15" t="inlineStr">
        <is>
          <t>① 売掛の回収が遅い：月額の後払いで支払いサイト60日なら、売上×60÷365の運転資金が要る（5年目で約4,400万円）。備え：利用料は年額前払い。導入支援は着手金50%。</t>
        </is>
      </c>
    </row>
    <row r="45" ht="17.5" customHeight="1">
      <c r="A45" s="15" t="inlineStr">
        <is>
          <t>② 採用の先行：導入コンサルタントや営業を、拠点が増える前に採ると人件費が先に出る。備え：採用は拠点数の実績に合わせて遅らせる（採用連動。前提8-5）。期末で社員1人約4拠点の見込みが立ってから採る。</t>
        </is>
      </c>
    </row>
    <row r="46" ht="17.5" customHeight="1">
      <c r="A46" s="15" t="inlineStr">
        <is>
          <t>③ 端末込みの料金：当社が端末をまとめて買うと、1台8万円×新規の台数を先に払い、料金で3年かけて回収する。備え：本契約はお客様名義のリースを基本にし、端末込みは現金に余裕がある年だけ選べるようにする。</t>
        </is>
      </c>
    </row>
    <row r="47" ht="17.5" customHeight="1">
      <c r="A47" s="15" t="inlineStr">
        <is>
          <t>④ 急な拠点増：新規が計画より多いと、導入支援の人件費と交通費が売上より先に出て、導入コンサルタントの採用も先に要る。備え：着手金50%。新規の受け入れは導入コンサルタントの人数×6を上限にする。</t>
        </is>
      </c>
    </row>
    <row r="48" ht="17.5" customHeight="1">
      <c r="A48" s="15" t="inlineStr">
        <is>
          <t>⑤ 税金・賞与の支払い月：賞与は年2回、法人税等は決算から2か月以内にまとめて出る。黒字化した後は中間納付もある（このモデルは税を含まない）。備え：資金繰り表で12か月先までの入出金を管理する。</t>
        </is>
      </c>
    </row>
    <row r="49" ht="17.5" customHeight="1">
      <c r="A49" s="15" t="inlineStr">
        <is>
          <t>共通の備え：自己資金は段階に分けて入れる（準備期500万円→実証に合格したら1年目2億円→3年目に継続率と台数の線を越えていれば5,000万円）。最低残高は販管費の3か月分を下回らないようにし、下回りそうなら先に採用を止める。</t>
        </is>
      </c>
    </row>
    <row r="50" ht="17.5" customHeight="1">
      <c r="A50" s="2" t="inlineStr">
        <is>
          <t>注：このモデルは運転資本（売掛・前受）・税・償却を含まない簡易計算。①〜④は互いに重なりうる。</t>
        </is>
      </c>
    </row>
  </sheetData>
  <mergeCells count="20">
    <mergeCell ref="D37:M37"/>
    <mergeCell ref="D12:M12"/>
    <mergeCell ref="D39:M39"/>
    <mergeCell ref="D42:M42"/>
    <mergeCell ref="D38:M38"/>
    <mergeCell ref="A44:M44"/>
    <mergeCell ref="D35:M35"/>
    <mergeCell ref="A48:M48"/>
    <mergeCell ref="D10:M10"/>
    <mergeCell ref="A49:M49"/>
    <mergeCell ref="A45:M45"/>
    <mergeCell ref="D40:M40"/>
    <mergeCell ref="D36:M36"/>
    <mergeCell ref="D13:M13"/>
    <mergeCell ref="D11:M11"/>
    <mergeCell ref="A46:M46"/>
    <mergeCell ref="D41:M41"/>
    <mergeCell ref="A50:M50"/>
    <mergeCell ref="A2:M2"/>
    <mergeCell ref="A47:M47"/>
  </mergeCells>
  <conditionalFormatting sqref="C4:L51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3" customWidth="1" min="3" max="3"/>
    <col width="16" customWidth="1" min="4" max="4"/>
    <col width="15" customWidth="1" min="5" max="5"/>
    <col width="15" customWidth="1" min="6" max="6"/>
    <col width="13" customWidth="1" min="7" max="7"/>
    <col width="11" customWidth="1" min="8" max="8"/>
    <col width="46" customWidth="1" min="9" max="9"/>
  </cols>
  <sheetData>
    <row r="1" ht="24" customHeight="1">
      <c r="A1" s="1" t="inlineStr">
        <is>
          <t>市場規模：ターゲット市場（電気工事・電気通信工事の中堅以上）約141億円</t>
        </is>
      </c>
    </row>
    <row r="2" ht="17.5" customHeight="1">
      <c r="A2" s="2" t="inlineStr">
        <is>
          <t>業種×規模で、顧客数×1社の年額×年1回を足し上げる。tora_market.js の SEG・SOM・estimate() と同じ（計算詳細版 p.24・25）。</t>
        </is>
      </c>
    </row>
    <row r="3" ht="34" customHeight="1">
      <c r="A3" s="5" t="inlineStr">
        <is>
          <t>業種</t>
        </is>
      </c>
      <c r="B3" s="5" t="inlineStr">
        <is>
          <t>規模</t>
        </is>
      </c>
      <c r="C3" s="5" t="inlineStr">
        <is>
          <t>顧客数（社）</t>
        </is>
      </c>
      <c r="D3" s="5" t="inlineStr">
        <is>
          <t>1社の年額（万円/年）</t>
        </is>
      </c>
      <c r="E3" s="5" t="inlineStr">
        <is>
          <t>ターゲット（1＝入れる）</t>
        </is>
      </c>
      <c r="F3" s="5" t="inlineStr">
        <is>
          <t>市場（万円/年）</t>
        </is>
      </c>
      <c r="G3" s="5" t="inlineStr">
        <is>
          <t>市場（億円/年）</t>
        </is>
      </c>
      <c r="H3" s="5" t="inlineStr">
        <is>
          <t>確度</t>
        </is>
      </c>
      <c r="I3" s="5" t="inlineStr">
        <is>
          <t>メモ・式（言葉）</t>
        </is>
      </c>
    </row>
    <row r="4" ht="17.5" customHeight="1">
      <c r="A4" s="56" t="inlineStr">
        <is>
          <t>電線・ケーブル工場</t>
        </is>
      </c>
      <c r="B4" s="56" t="inlineStr">
        <is>
          <t>大（300人以上）</t>
        </is>
      </c>
      <c r="C4" s="32">
        <f>'前提'!$E$164</f>
        <v>40</v>
      </c>
      <c r="D4" s="32">
        <f>'前提'!$F$164</f>
        <v>500</v>
      </c>
      <c r="E4" s="70">
        <f>'前提'!$G$164</f>
        <v>0</v>
      </c>
      <c r="F4" s="32">
        <f>C4*D4</f>
        <v>20000</v>
      </c>
      <c r="G4" s="38">
        <f>F4/'前提'!$E$9</f>
        <v>2</v>
      </c>
      <c r="H4" s="17" t="inlineStr">
        <is>
          <t>仮定</t>
        </is>
      </c>
      <c r="I4" s="19" t="inlineStr">
        <is>
          <t>15ライン相当。353事業所の内訳は仮定。顧客数×1社の年額</t>
        </is>
      </c>
    </row>
    <row r="5" ht="17.5" customHeight="1">
      <c r="A5" s="56" t="inlineStr">
        <is>
          <t>電線・ケーブル工場</t>
        </is>
      </c>
      <c r="B5" s="56" t="inlineStr">
        <is>
          <t>中（30〜299人）</t>
        </is>
      </c>
      <c r="C5" s="32">
        <f>'前提'!$E$165</f>
        <v>150</v>
      </c>
      <c r="D5" s="32">
        <f>'前提'!$F$165</f>
        <v>300</v>
      </c>
      <c r="E5" s="70">
        <f>'前提'!$G$165</f>
        <v>0</v>
      </c>
      <c r="F5" s="32">
        <f>C5*D5</f>
        <v>45000</v>
      </c>
      <c r="G5" s="38">
        <f>F5/'前提'!$E$9</f>
        <v>4.5</v>
      </c>
      <c r="H5" s="17" t="inlineStr">
        <is>
          <t>仮定</t>
        </is>
      </c>
      <c r="I5" s="19" t="inlineStr">
        <is>
          <t>隣接市場（成長期以降）。顧客数×1社の年額</t>
        </is>
      </c>
    </row>
    <row r="6" ht="17.5" customHeight="1">
      <c r="A6" s="56" t="inlineStr">
        <is>
          <t>電線・ケーブル工場</t>
        </is>
      </c>
      <c r="B6" s="56" t="inlineStr">
        <is>
          <t>小（30人未満）</t>
        </is>
      </c>
      <c r="C6" s="32">
        <f>'前提'!$E$166</f>
        <v>163</v>
      </c>
      <c r="D6" s="32">
        <f>'前提'!$F$166</f>
        <v>120</v>
      </c>
      <c r="E6" s="70">
        <f>'前提'!$G$166</f>
        <v>0</v>
      </c>
      <c r="F6" s="32">
        <f>C6*D6</f>
        <v>19560</v>
      </c>
      <c r="G6" s="38">
        <f>F6/'前提'!$E$9</f>
        <v>1.956</v>
      </c>
      <c r="H6" s="17" t="inlineStr">
        <is>
          <t>仮定</t>
        </is>
      </c>
      <c r="I6" s="19" t="inlineStr">
        <is>
          <t>回収条件（月105人時）を満たしにくい。顧客数×1社の年額</t>
        </is>
      </c>
    </row>
    <row r="7" ht="17.5" customHeight="1">
      <c r="A7" s="56" t="inlineStr">
        <is>
          <t>電気工事会社</t>
        </is>
      </c>
      <c r="B7" s="56" t="inlineStr">
        <is>
          <t>大（300人以上）</t>
        </is>
      </c>
      <c r="C7" s="32">
        <f>'前提'!$E$167</f>
        <v>300</v>
      </c>
      <c r="D7" s="32">
        <f>'前提'!$F$167</f>
        <v>1500</v>
      </c>
      <c r="E7" s="70">
        <f>'前提'!$G$167</f>
        <v>1</v>
      </c>
      <c r="F7" s="32">
        <f>C7*D7</f>
        <v>450000</v>
      </c>
      <c r="G7" s="38">
        <f>F7/'前提'!$E$9</f>
        <v>45</v>
      </c>
      <c r="H7" s="17" t="inlineStr">
        <is>
          <t>仮定</t>
        </is>
      </c>
      <c r="I7" s="19" t="inlineStr">
        <is>
          <t>支店5拠点×300万円。顧客数×1社の年額</t>
        </is>
      </c>
    </row>
    <row r="8" ht="31" customHeight="1">
      <c r="A8" s="56" t="inlineStr">
        <is>
          <t>電気工事会社</t>
        </is>
      </c>
      <c r="B8" s="56" t="inlineStr">
        <is>
          <t>中（30〜299人）</t>
        </is>
      </c>
      <c r="C8" s="32">
        <f>'前提'!$E$168</f>
        <v>2100</v>
      </c>
      <c r="D8" s="32">
        <f>'前提'!$F$168</f>
        <v>300</v>
      </c>
      <c r="E8" s="70">
        <f>'前提'!$G$168</f>
        <v>1</v>
      </c>
      <c r="F8" s="32">
        <f>C8*D8</f>
        <v>630000</v>
      </c>
      <c r="G8" s="38">
        <f>F8/'前提'!$E$9</f>
        <v>63</v>
      </c>
      <c r="H8" s="17" t="inlineStr">
        <is>
          <t>仮定</t>
        </is>
      </c>
      <c r="I8" s="19" t="inlineStr">
        <is>
          <t>資本金5,000万円以上 約2,400社の内訳は仮定。顧客数×1社の年額</t>
        </is>
      </c>
    </row>
    <row r="9" ht="31" customHeight="1">
      <c r="A9" s="56" t="inlineStr">
        <is>
          <t>電気工事会社</t>
        </is>
      </c>
      <c r="B9" s="56" t="inlineStr">
        <is>
          <t>小（30人未満）</t>
        </is>
      </c>
      <c r="C9" s="32">
        <f>'前提'!$E$169</f>
        <v>63097</v>
      </c>
      <c r="D9" s="32">
        <f>'前提'!$F$169</f>
        <v>60</v>
      </c>
      <c r="E9" s="70">
        <f>'前提'!$G$169</f>
        <v>0</v>
      </c>
      <c r="F9" s="32">
        <f>C9*D9</f>
        <v>3785820</v>
      </c>
      <c r="G9" s="38">
        <f>F9/'前提'!$E$9</f>
        <v>378.582</v>
      </c>
      <c r="H9" s="17" t="inlineStr">
        <is>
          <t>統計−仮定</t>
        </is>
      </c>
      <c r="I9" s="19" t="inlineStr">
        <is>
          <t>65,497社の残り。ライト版を想定（65,497社−大300−中2,100）。顧客数×1社の年額</t>
        </is>
      </c>
    </row>
    <row r="10" ht="17.5" customHeight="1">
      <c r="A10" s="56" t="inlineStr">
        <is>
          <t>電気通信工事会社</t>
        </is>
      </c>
      <c r="B10" s="56" t="inlineStr">
        <is>
          <t>大（300人以上）</t>
        </is>
      </c>
      <c r="C10" s="32">
        <f>'前提'!$E$170</f>
        <v>100</v>
      </c>
      <c r="D10" s="32">
        <f>'前提'!$F$170</f>
        <v>1500</v>
      </c>
      <c r="E10" s="70">
        <f>'前提'!$G$170</f>
        <v>1</v>
      </c>
      <c r="F10" s="32">
        <f>C10*D10</f>
        <v>150000</v>
      </c>
      <c r="G10" s="38">
        <f>F10/'前提'!$E$9</f>
        <v>15</v>
      </c>
      <c r="H10" s="17" t="inlineStr">
        <is>
          <t>仮定</t>
        </is>
      </c>
      <c r="I10" s="19" t="inlineStr">
        <is>
          <t>支店5拠点×300万円。顧客数×1社の年額</t>
        </is>
      </c>
    </row>
    <row r="11" ht="17.5" customHeight="1">
      <c r="A11" s="56" t="inlineStr">
        <is>
          <t>電気通信工事会社</t>
        </is>
      </c>
      <c r="B11" s="56" t="inlineStr">
        <is>
          <t>中（30〜299人）</t>
        </is>
      </c>
      <c r="C11" s="32">
        <f>'前提'!$E$171</f>
        <v>600</v>
      </c>
      <c r="D11" s="32">
        <f>'前提'!$F$171</f>
        <v>300</v>
      </c>
      <c r="E11" s="70">
        <f>'前提'!$G$171</f>
        <v>1</v>
      </c>
      <c r="F11" s="32">
        <f>C11*D11</f>
        <v>180000</v>
      </c>
      <c r="G11" s="38">
        <f>F11/'前提'!$E$9</f>
        <v>18</v>
      </c>
      <c r="H11" s="17" t="inlineStr">
        <is>
          <t>仮定</t>
        </is>
      </c>
      <c r="I11" s="19" t="inlineStr">
        <is>
          <t>同規模層 約700社の内訳は仮定。顧客数×1社の年額</t>
        </is>
      </c>
    </row>
    <row r="12" ht="17.5" customHeight="1">
      <c r="A12" s="10" t="inlineStr">
        <is>
          <t>全セルの合計（参考）</t>
        </is>
      </c>
      <c r="B12" s="71" t="n"/>
      <c r="C12" s="43">
        <f>SUM(C4:C11)</f>
        <v>66550</v>
      </c>
      <c r="F12" s="43">
        <f>SUM(F4:F11)</f>
        <v>5280380</v>
      </c>
      <c r="G12" s="50">
        <f>F12/'前提'!$E$9</f>
        <v>528.038</v>
      </c>
      <c r="I12" s="19" t="inlineStr">
        <is>
          <t>8つのセルの合計（電線工場と小規模を含む）</t>
        </is>
      </c>
    </row>
    <row r="13" ht="31" customHeight="1">
      <c r="A13" s="10" t="inlineStr">
        <is>
          <t>ターゲット市場（ターゲット＝1のセル）</t>
        </is>
      </c>
      <c r="B13" s="71" t="n"/>
      <c r="C13" s="43">
        <f>SUMPRODUCT(E4:E11,C4:C11)</f>
        <v>3100</v>
      </c>
      <c r="F13" s="43">
        <f>SUMPRODUCT(E4:E11,F4:F11)</f>
        <v>1410000</v>
      </c>
      <c r="G13" s="50">
        <f>F13/'前提'!$E$9</f>
        <v>141</v>
      </c>
      <c r="I13" s="19" t="inlineStr">
        <is>
          <t>電気工事・電気通信工事の大と中。顧客数×年額をターゲットのセルだけ足す</t>
        </is>
      </c>
    </row>
    <row r="15" ht="19" customHeight="1">
      <c r="A15" s="3" t="inlineStr">
        <is>
          <t>SOM（1〜5年目に狙うセルの漏斗）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34" customHeight="1">
      <c r="A16" s="5" t="inlineStr">
        <is>
          <t>セル</t>
        </is>
      </c>
      <c r="B16" s="5" t="inlineStr">
        <is>
          <t>顧客数（社）</t>
        </is>
      </c>
      <c r="C16" s="5" t="inlineStr">
        <is>
          <t>地域の割合</t>
        </is>
      </c>
      <c r="D16" s="5" t="inlineStr">
        <is>
          <t>会える率</t>
        </is>
      </c>
      <c r="E16" s="5" t="inlineStr">
        <is>
          <t>成約率</t>
        </is>
      </c>
      <c r="F16" s="5" t="inlineStr">
        <is>
          <t>1社の拠点数</t>
        </is>
      </c>
      <c r="G16" s="5" t="inlineStr">
        <is>
          <t>獲得する拠点</t>
        </is>
      </c>
      <c r="H16" s="5" t="inlineStr">
        <is>
          <t>売上（万円/年）</t>
        </is>
      </c>
      <c r="I16" s="5" t="inlineStr">
        <is>
          <t>式（言葉）</t>
        </is>
      </c>
    </row>
    <row r="17" ht="44.5" customHeight="1">
      <c r="A17" s="7" t="inlineStr">
        <is>
          <t>電気工事会社・中（30〜299人）</t>
        </is>
      </c>
      <c r="B17" s="32">
        <f>$C$8</f>
        <v>2100</v>
      </c>
      <c r="C17" s="34">
        <f>'前提'!$E$173</f>
        <v>0.35</v>
      </c>
      <c r="D17" s="34">
        <f>'前提'!$F$173</f>
        <v>0.45</v>
      </c>
      <c r="E17" s="34">
        <f>'前提'!$G$173</f>
        <v>0.25</v>
      </c>
      <c r="F17" s="34">
        <f>'前提'!$H$173</f>
        <v>1</v>
      </c>
      <c r="G17" s="34">
        <f>B17*C17*D17*E17*F17</f>
        <v>82.6875</v>
      </c>
      <c r="H17" s="32">
        <f>G17*'値段と原価'!$C$9</f>
        <v>24806.25</v>
      </c>
      <c r="I17" s="19" t="inlineStr">
        <is>
          <t>顧客数×地域×会える率×成約率×1社の拠点数。売上＝拠点×300万円。関東の比率35%（川崎拠点から日帰り圏）。業界団体・展示会・紹介で45%に会う</t>
        </is>
      </c>
    </row>
    <row r="18" ht="44.5" customHeight="1">
      <c r="A18" s="7" t="inlineStr">
        <is>
          <t>電気工事会社・大（300人以上）</t>
        </is>
      </c>
      <c r="B18" s="32">
        <f>$C$7</f>
        <v>300</v>
      </c>
      <c r="C18" s="34">
        <f>'前提'!$E$174</f>
        <v>0.35</v>
      </c>
      <c r="D18" s="34">
        <f>'前提'!$F$174</f>
        <v>0.1</v>
      </c>
      <c r="E18" s="34">
        <f>'前提'!$G$174</f>
        <v>0.1</v>
      </c>
      <c r="F18" s="34">
        <f>'前提'!$H$174</f>
        <v>5</v>
      </c>
      <c r="G18" s="34">
        <f>B18*C18*D18*E18*F18</f>
        <v>5.25</v>
      </c>
      <c r="H18" s="32">
        <f>G18*'値段と原価'!$C$9</f>
        <v>1575</v>
      </c>
      <c r="I18" s="19" t="inlineStr">
        <is>
          <t>顧客数×地域×会える率×成約率×1社の拠点数。売上＝拠点×300万円。大手1社を目玉の事例に（支店5拠点）。協力会社へ波及する</t>
        </is>
      </c>
    </row>
    <row r="19" ht="17.5" customHeight="1">
      <c r="A19" s="10" t="inlineStr">
        <is>
          <t>SOM の合計</t>
        </is>
      </c>
      <c r="G19" s="36">
        <f>SUM(G17:G18)</f>
        <v>87.9375</v>
      </c>
      <c r="H19" s="43">
        <f>SUM(H17:H18)</f>
        <v>26381.25</v>
      </c>
      <c r="I19" s="19" t="inlineStr">
        <is>
          <t>獲得する拠点の合計と売上（約88拠点・約2.64億円）</t>
        </is>
      </c>
    </row>
    <row r="20" ht="31" customHeight="1">
      <c r="A20" s="7" t="inlineStr">
        <is>
          <t>5年目の売上（期末の拠点×300万円）÷ターゲット市場</t>
        </is>
      </c>
      <c r="B20" s="71" t="n"/>
      <c r="G20" s="72">
        <f>'拠点と売上'!$G$9*'値段と原価'!$C$9/$F$13</f>
        <v>0.0172340425531915</v>
      </c>
      <c r="I20" s="73" t="inlineStr">
        <is>
          <t>81拠点×300万円÷141億円</t>
        </is>
      </c>
    </row>
    <row r="22" ht="19" customHeight="1">
      <c r="A22" s="3" t="inlineStr">
        <is>
          <t>参考：小規模向けのライト版（基盤＋3台）で一部を取れた場合の上振れ（計画に入れない）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34" customHeight="1">
      <c r="A23" s="5" t="inlineStr">
        <is>
          <t>取れる割合</t>
        </is>
      </c>
      <c r="B23" s="5" t="inlineStr">
        <is>
          <t>小規模の電気工事会社（社）</t>
        </is>
      </c>
      <c r="C23" s="5" t="inlineStr">
        <is>
          <t>取れる社数（社）</t>
        </is>
      </c>
      <c r="D23" s="5" t="inlineStr">
        <is>
          <t>ライト版の年額（万円/年）</t>
        </is>
      </c>
      <c r="E23" s="5" t="inlineStr">
        <is>
          <t>売上（万円/年）</t>
        </is>
      </c>
      <c r="F23" s="5" t="inlineStr">
        <is>
          <t>売上（億円/年）</t>
        </is>
      </c>
      <c r="I23" s="5" t="inlineStr">
        <is>
          <t>式（言葉）</t>
        </is>
      </c>
    </row>
    <row r="24">
      <c r="A24" s="74">
        <f>'前提'!$E$176</f>
        <v>0.001</v>
      </c>
      <c r="B24" s="32">
        <f>$C$9</f>
        <v>63097</v>
      </c>
      <c r="C24" s="32">
        <f>A24*B24</f>
        <v>63.097</v>
      </c>
      <c r="D24" s="32">
        <f>'前提'!$E$23+'前提'!$E$24*'前提'!$E$175</f>
        <v>132</v>
      </c>
      <c r="E24" s="32">
        <f>C24*D24</f>
        <v>8328.804</v>
      </c>
      <c r="F24" s="38">
        <f>E24/'前提'!$E$9</f>
        <v>0.8328804</v>
      </c>
      <c r="I24" s="73" t="inlineStr">
        <is>
          <t>小規模の社数×取れる割合×(基盤60＋端末24×3台)</t>
        </is>
      </c>
    </row>
    <row r="25">
      <c r="A25" s="74">
        <f>'前提'!$F$176</f>
        <v>0.005</v>
      </c>
      <c r="B25" s="32">
        <f>$C$9</f>
        <v>63097</v>
      </c>
      <c r="C25" s="32">
        <f>A25*B25</f>
        <v>315.485</v>
      </c>
      <c r="D25" s="32">
        <f>'前提'!$E$23+'前提'!$E$24*'前提'!$E$175</f>
        <v>132</v>
      </c>
      <c r="E25" s="32">
        <f>C25*D25</f>
        <v>41644.02</v>
      </c>
      <c r="F25" s="38">
        <f>E25/'前提'!$E$9</f>
        <v>4.164402</v>
      </c>
      <c r="I25" s="73" t="inlineStr">
        <is>
          <t>小規模の社数×取れる割合×(基盤60＋端末24×3台)</t>
        </is>
      </c>
    </row>
    <row r="26">
      <c r="A26" s="74">
        <f>'前提'!$G$176</f>
        <v>0.01</v>
      </c>
      <c r="B26" s="32">
        <f>$C$9</f>
        <v>63097</v>
      </c>
      <c r="C26" s="32">
        <f>A26*B26</f>
        <v>630.97</v>
      </c>
      <c r="D26" s="32">
        <f>'前提'!$E$23+'前提'!$E$24*'前提'!$E$175</f>
        <v>132</v>
      </c>
      <c r="E26" s="32">
        <f>C26*D26</f>
        <v>83288.04</v>
      </c>
      <c r="F26" s="38">
        <f>E26/'前提'!$E$9</f>
        <v>8.328804</v>
      </c>
      <c r="I26" s="73" t="inlineStr">
        <is>
          <t>小規模の社数×取れる割合×(基盤60＋端末24×3台)</t>
        </is>
      </c>
    </row>
    <row r="28" ht="17.5" customHeight="1">
      <c r="A28" s="2" t="inlineStr">
        <is>
          <t>注：65,497社は国の統計（建設業許可業者数調査）。大・中・小の内訳は仮定で、業界団体の名簿と経済センサスで数え直す。</t>
        </is>
      </c>
    </row>
    <row r="29" ht="17.5" customHeight="1">
      <c r="A29" s="2" t="inlineStr">
        <is>
          <t>注：小規模（30人未満）を外すのは、書類が少ないからではなく、1拠点10台が要らないため。全体の表の小規模の年額60万円は tora_market.js の置き方（さらに小さい構成）。</t>
        </is>
      </c>
    </row>
    <row r="30" ht="17.5" customHeight="1">
      <c r="A30" s="2" t="inlineStr">
        <is>
          <t>注：ライト版は計画に入れない上振れ。取れる割合は仮定。</t>
        </is>
      </c>
    </row>
  </sheetData>
  <mergeCells count="7">
    <mergeCell ref="A29:I29"/>
    <mergeCell ref="A20:B20"/>
    <mergeCell ref="A2:I2"/>
    <mergeCell ref="A28:I28"/>
    <mergeCell ref="A13:B13"/>
    <mergeCell ref="A30:I30"/>
    <mergeCell ref="A12:B12"/>
  </mergeCells>
  <conditionalFormatting sqref="B4:H31">
    <cfRule type="cellIs" priority="1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  <rowBreaks count="1" manualBreakCount="1">
    <brk id="21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1" customWidth="1" min="4" max="4"/>
    <col width="16" customWidth="1" min="5" max="5"/>
    <col width="16" customWidth="1" min="6" max="6"/>
    <col width="13" customWidth="1" min="7" max="7"/>
    <col width="9" customWidth="1" min="8" max="8"/>
    <col width="30" customWidth="1" min="9" max="9"/>
  </cols>
  <sheetData>
    <row r="1" ht="24" customHeight="1">
      <c r="A1" s="1" t="inlineStr">
        <is>
          <t>照合：Excel の結果と tora_v2.js の値（node で計算して貼った値）</t>
        </is>
      </c>
    </row>
    <row r="2" ht="31" customHeight="1">
      <c r="A2" s="2" t="inlineStr">
        <is>
          <t>E列＝このブックの式の結果、F列＝tora_v2.js の値（灰色・貼り付け）。差の絶対値が前提12-1以下なら「一致」。前提のつまみ（8-1〜8-6）が初期値のときに一致する。つまみを動かすと「不一致」になるのが正しい。</t>
        </is>
      </c>
    </row>
    <row r="3" ht="30" customHeight="1">
      <c r="A3" s="5" t="inlineStr">
        <is>
          <t>区分</t>
        </is>
      </c>
      <c r="B3" s="5" t="inlineStr">
        <is>
          <t>項目</t>
        </is>
      </c>
      <c r="C3" s="5" t="inlineStr">
        <is>
          <t>年</t>
        </is>
      </c>
      <c r="D3" s="5" t="inlineStr">
        <is>
          <t>単位</t>
        </is>
      </c>
      <c r="E3" s="5" t="inlineStr">
        <is>
          <t>Excel の値</t>
        </is>
      </c>
      <c r="F3" s="5" t="inlineStr">
        <is>
          <t>tora_v2.js の値</t>
        </is>
      </c>
      <c r="G3" s="5" t="inlineStr">
        <is>
          <t>差（Excel−JS）</t>
        </is>
      </c>
      <c r="H3" s="5" t="inlineStr">
        <is>
          <t>判定</t>
        </is>
      </c>
      <c r="I3" s="5" t="inlineStr">
        <is>
          <t>Excel のセル</t>
        </is>
      </c>
    </row>
    <row r="4">
      <c r="A4" s="10" t="inlineStr">
        <is>
          <t>合計</t>
        </is>
      </c>
      <c r="B4" s="75" t="str">
        <f>"照合 "&amp;COUNTA(H5:H145)&amp;" 項目：一致 "&amp;COUNTIF(H5:H145,"一致")&amp;"・不一致 "&amp;COUNTIF(H5:H145,"不一致")</f>
        <v>照合 141 項目：一致 141・不一致 0</v>
      </c>
      <c r="C4" s="71" t="n"/>
      <c r="D4" s="71" t="n"/>
      <c r="E4" s="71" t="n"/>
      <c r="F4" s="71" t="n"/>
      <c r="G4" s="71" t="n"/>
      <c r="H4" s="76" t="str">
        <f>IF(COUNTIF(H5:H145,"不一致")=0,"すべて一致","不一致あり")</f>
        <v>すべて一致</v>
      </c>
    </row>
    <row r="5">
      <c r="A5" s="33" t="inlineStr">
        <is>
          <t>時給</t>
        </is>
      </c>
      <c r="B5" s="56" t="inlineStr">
        <is>
          <t>職長の1時間の人件費</t>
        </is>
      </c>
      <c r="C5" s="17" t="n"/>
      <c r="D5" s="33" t="inlineStr">
        <is>
          <t>円/時間</t>
        </is>
      </c>
      <c r="E5" s="34">
        <f>'時給'!$B$9</f>
        <v>3326.47058823529</v>
      </c>
      <c r="F5" s="77" t="n">
        <v>3326.470588235294</v>
      </c>
      <c r="G5" s="78">
        <f>IF(AND(ISNUMBER(E5),ISNUMBER(F5)),E5-F5,"─")</f>
        <v>0</v>
      </c>
      <c r="H5" s="79" t="str">
        <f>IF(ISNUMBER(G5),IF(ABS(G5)&lt;='前提'!$E$178,"一致","不一致"),IF(E5=F5,"一致","不一致"))</f>
        <v>一致</v>
      </c>
      <c r="I5" s="73" t="inlineStr">
        <is>
          <t>時給 B9</t>
        </is>
      </c>
    </row>
    <row r="6">
      <c r="A6" s="33" t="inlineStr">
        <is>
          <t>時給</t>
        </is>
      </c>
      <c r="B6" s="56" t="inlineStr">
        <is>
          <t>施工管理者の1時間の人件費</t>
        </is>
      </c>
      <c r="C6" s="17" t="n"/>
      <c r="D6" s="33" t="inlineStr">
        <is>
          <t>円/時間</t>
        </is>
      </c>
      <c r="E6" s="34">
        <f>'時給'!$C$9</f>
        <v>3743.03405572755</v>
      </c>
      <c r="F6" s="77" t="n">
        <v>3743.034055727554</v>
      </c>
      <c r="G6" s="78">
        <f>IF(AND(ISNUMBER(E6),ISNUMBER(F6)),E6-F6,"─")</f>
        <v>0</v>
      </c>
      <c r="H6" s="79" t="str">
        <f>IF(ISNUMBER(G6),IF(ABS(G6)&lt;='前提'!$E$178,"一致","不一致"),IF(E6=F6,"一致","不一致"))</f>
        <v>一致</v>
      </c>
      <c r="I6" s="73" t="inlineStr">
        <is>
          <t>時給 C9</t>
        </is>
      </c>
    </row>
    <row r="7">
      <c r="A7" s="33" t="inlineStr">
        <is>
          <t>お客様</t>
        </is>
      </c>
      <c r="B7" s="56" t="inlineStr">
        <is>
          <t>1台1日の効果</t>
        </is>
      </c>
      <c r="C7" s="17" t="n"/>
      <c r="D7" s="33" t="inlineStr">
        <is>
          <t>万円/台/日</t>
        </is>
      </c>
      <c r="E7" s="40">
        <f>'お客様の効果'!$C$10</f>
        <v>0.207929566563468</v>
      </c>
      <c r="F7" s="80" t="n">
        <v>0.2079295665634675</v>
      </c>
      <c r="G7" s="78">
        <f>IF(AND(ISNUMBER(E7),ISNUMBER(F7)),E7-F7,"─")</f>
        <v>0</v>
      </c>
      <c r="H7" s="79" t="str">
        <f>IF(ISNUMBER(G7),IF(ABS(G7)&lt;='前提'!$E$178,"一致","不一致"),IF(E7=F7,"一致","不一致"))</f>
        <v>一致</v>
      </c>
      <c r="I7" s="73" t="inlineStr">
        <is>
          <t>お客様の効果 C10</t>
        </is>
      </c>
    </row>
    <row r="8">
      <c r="A8" s="33" t="inlineStr">
        <is>
          <t>お客様</t>
        </is>
      </c>
      <c r="B8" s="56" t="inlineStr">
        <is>
          <t>お客様の効果（年）</t>
        </is>
      </c>
      <c r="C8" s="17" t="n"/>
      <c r="D8" s="33" t="inlineStr">
        <is>
          <t>万円/年</t>
        </is>
      </c>
      <c r="E8" s="40">
        <f>'お客様の効果'!$C$14</f>
        <v>499.030959752322</v>
      </c>
      <c r="F8" s="80" t="n">
        <v>499.030959752322</v>
      </c>
      <c r="G8" s="78">
        <f>IF(AND(ISNUMBER(E8),ISNUMBER(F8)),E8-F8,"─")</f>
        <v>0</v>
      </c>
      <c r="H8" s="79" t="str">
        <f>IF(ISNUMBER(G8),IF(ABS(G8)&lt;='前提'!$E$178,"一致","不一致"),IF(E8=F8,"一致","不一致"))</f>
        <v>一致</v>
      </c>
      <c r="I8" s="73" t="inlineStr">
        <is>
          <t>お客様の効果 C14</t>
        </is>
      </c>
    </row>
    <row r="9">
      <c r="A9" s="33" t="inlineStr">
        <is>
          <t>お客様</t>
        </is>
      </c>
      <c r="B9" s="56" t="inlineStr">
        <is>
          <t>浮く時間</t>
        </is>
      </c>
      <c r="C9" s="17" t="n"/>
      <c r="D9" s="33" t="inlineStr">
        <is>
          <t>時間/年</t>
        </is>
      </c>
      <c r="E9" s="34">
        <f>'お客様の効果'!$C$17</f>
        <v>1400</v>
      </c>
      <c r="F9" s="77" t="n">
        <v>1400</v>
      </c>
      <c r="G9" s="78">
        <f>IF(AND(ISNUMBER(E9),ISNUMBER(F9)),E9-F9,"─")</f>
        <v>0</v>
      </c>
      <c r="H9" s="79" t="str">
        <f>IF(ISNUMBER(G9),IF(ABS(G9)&lt;='前提'!$E$178,"一致","不一致"),IF(E9=F9,"一致","不一致"))</f>
        <v>一致</v>
      </c>
      <c r="I9" s="73" t="inlineStr">
        <is>
          <t>お客様の効果 C17</t>
        </is>
      </c>
    </row>
    <row r="10">
      <c r="A10" s="33" t="inlineStr">
        <is>
          <t>お客様</t>
        </is>
      </c>
      <c r="B10" s="56" t="inlineStr">
        <is>
          <t>お客様の支払い</t>
        </is>
      </c>
      <c r="C10" s="17" t="n"/>
      <c r="D10" s="33" t="inlineStr">
        <is>
          <t>万円/年</t>
        </is>
      </c>
      <c r="E10" s="40">
        <f>'お客様の効果'!$C$25</f>
        <v>331.68</v>
      </c>
      <c r="F10" s="80" t="n">
        <v>331.68</v>
      </c>
      <c r="G10" s="78">
        <f>IF(AND(ISNUMBER(E10),ISNUMBER(F10)),E10-F10,"─")</f>
        <v>0</v>
      </c>
      <c r="H10" s="79" t="str">
        <f>IF(ISNUMBER(G10),IF(ABS(G10)&lt;='前提'!$E$178,"一致","不一致"),IF(E10=F10,"一致","不一致"))</f>
        <v>一致</v>
      </c>
      <c r="I10" s="73" t="inlineStr">
        <is>
          <t>お客様の効果 C25</t>
        </is>
      </c>
    </row>
    <row r="11">
      <c r="A11" s="33" t="inlineStr">
        <is>
          <t>お客様</t>
        </is>
      </c>
      <c r="B11" s="56" t="inlineStr">
        <is>
          <t>リースの合計</t>
        </is>
      </c>
      <c r="C11" s="17" t="n"/>
      <c r="D11" s="33" t="inlineStr">
        <is>
          <t>万円/年</t>
        </is>
      </c>
      <c r="E11" s="40">
        <f>'お客様の効果'!$C$24</f>
        <v>31.68</v>
      </c>
      <c r="F11" s="80" t="n">
        <v>31.68</v>
      </c>
      <c r="G11" s="78">
        <f>IF(AND(ISNUMBER(E11),ISNUMBER(F11)),E11-F11,"─")</f>
        <v>0</v>
      </c>
      <c r="H11" s="79" t="str">
        <f>IF(ISNUMBER(G11),IF(ABS(G11)&lt;='前提'!$E$178,"一致","不一致"),IF(E11=F11,"一致","不一致"))</f>
        <v>一致</v>
      </c>
      <c r="I11" s="73" t="inlineStr">
        <is>
          <t>お客様の効果 C24</t>
        </is>
      </c>
    </row>
    <row r="12">
      <c r="A12" s="33" t="inlineStr">
        <is>
          <t>お客様</t>
        </is>
      </c>
      <c r="B12" s="56" t="inlineStr">
        <is>
          <t>倍率</t>
        </is>
      </c>
      <c r="C12" s="17" t="n"/>
      <c r="D12" s="33" t="inlineStr">
        <is>
          <t>倍</t>
        </is>
      </c>
      <c r="E12" s="40">
        <f>'お客様の効果'!$C$26</f>
        <v>1.50455547441004</v>
      </c>
      <c r="F12" s="80" t="n">
        <v>1.50455547441004</v>
      </c>
      <c r="G12" s="78">
        <f>IF(AND(ISNUMBER(E12),ISNUMBER(F12)),E12-F12,"─")</f>
        <v>0</v>
      </c>
      <c r="H12" s="79" t="str">
        <f>IF(ISNUMBER(G12),IF(ABS(G12)&lt;='前提'!$E$178,"一致","不一致"),IF(E12=F12,"一致","不一致"))</f>
        <v>一致</v>
      </c>
      <c r="I12" s="73" t="inlineStr">
        <is>
          <t>お客様の効果 C26</t>
        </is>
      </c>
    </row>
    <row r="13">
      <c r="A13" s="33" t="inlineStr">
        <is>
          <t>お客様</t>
        </is>
      </c>
      <c r="B13" s="56" t="inlineStr">
        <is>
          <t>元が取れる分</t>
        </is>
      </c>
      <c r="C13" s="17" t="n"/>
      <c r="D13" s="33" t="inlineStr">
        <is>
          <t>分/台/日</t>
        </is>
      </c>
      <c r="E13" s="40">
        <f>'お客様の効果'!$C$30</f>
        <v>23.2626849559828</v>
      </c>
      <c r="F13" s="80" t="n">
        <v>23.2626849559828</v>
      </c>
      <c r="G13" s="78">
        <f>IF(AND(ISNUMBER(E13),ISNUMBER(F13)),E13-F13,"─")</f>
        <v>0</v>
      </c>
      <c r="H13" s="79" t="str">
        <f>IF(ISNUMBER(G13),IF(ABS(G13)&lt;='前提'!$E$178,"一致","不一致"),IF(E13=F13,"一致","不一致"))</f>
        <v>一致</v>
      </c>
      <c r="I13" s="73" t="inlineStr">
        <is>
          <t>お客様の効果 C30</t>
        </is>
      </c>
    </row>
    <row r="14">
      <c r="A14" s="33" t="inlineStr">
        <is>
          <t>お客様</t>
        </is>
      </c>
      <c r="B14" s="56" t="inlineStr">
        <is>
          <t>手戻りの削減（参考）</t>
        </is>
      </c>
      <c r="C14" s="17" t="n"/>
      <c r="D14" s="33" t="inlineStr">
        <is>
          <t>万円/年</t>
        </is>
      </c>
      <c r="E14" s="34">
        <f>'お客様の効果'!$C$49</f>
        <v>360</v>
      </c>
      <c r="F14" s="77" t="n">
        <v>360</v>
      </c>
      <c r="G14" s="78">
        <f>IF(AND(ISNUMBER(E14),ISNUMBER(F14)),E14-F14,"─")</f>
        <v>0</v>
      </c>
      <c r="H14" s="79" t="str">
        <f>IF(ISNUMBER(G14),IF(ABS(G14)&lt;='前提'!$E$178,"一致","不一致"),IF(E14=F14,"一致","不一致"))</f>
        <v>一致</v>
      </c>
      <c r="I14" s="73" t="inlineStr">
        <is>
          <t>お客様の効果 C49</t>
        </is>
      </c>
    </row>
    <row r="15">
      <c r="A15" s="33" t="inlineStr">
        <is>
          <t>値段と原価</t>
        </is>
      </c>
      <c r="B15" s="56" t="inlineStr">
        <is>
          <t>1拠点の利用料</t>
        </is>
      </c>
      <c r="C15" s="17" t="n"/>
      <c r="D15" s="33" t="inlineStr">
        <is>
          <t>万円/年</t>
        </is>
      </c>
      <c r="E15" s="34">
        <f>'値段と原価'!$C$8</f>
        <v>300</v>
      </c>
      <c r="F15" s="77" t="n">
        <v>300</v>
      </c>
      <c r="G15" s="78">
        <f>IF(AND(ISNUMBER(E15),ISNUMBER(F15)),E15-F15,"─")</f>
        <v>0</v>
      </c>
      <c r="H15" s="79" t="str">
        <f>IF(ISNUMBER(G15),IF(ABS(G15)&lt;='前提'!$E$178,"一致","不一致"),IF(E15=F15,"一致","不一致"))</f>
        <v>一致</v>
      </c>
      <c r="I15" s="73" t="inlineStr">
        <is>
          <t>値段と原価 C8</t>
        </is>
      </c>
    </row>
    <row r="16">
      <c r="A16" s="33" t="inlineStr">
        <is>
          <t>値段と原価</t>
        </is>
      </c>
      <c r="B16" s="56" t="inlineStr">
        <is>
          <t>1台の原価（年）</t>
        </is>
      </c>
      <c r="C16" s="17" t="n"/>
      <c r="D16" s="33" t="inlineStr">
        <is>
          <t>万円/年/台</t>
        </is>
      </c>
      <c r="E16" s="40">
        <f>'値段と原価'!$C$12</f>
        <v>7.2</v>
      </c>
      <c r="F16" s="80" t="n">
        <v>7.199999999999999</v>
      </c>
      <c r="G16" s="78">
        <f>IF(AND(ISNUMBER(E16),ISNUMBER(F16)),E16-F16,"─")</f>
        <v>0</v>
      </c>
      <c r="H16" s="79" t="str">
        <f>IF(ISNUMBER(G16),IF(ABS(G16)&lt;='前提'!$E$178,"一致","不一致"),IF(E16=F16,"一致","不一致"))</f>
        <v>一致</v>
      </c>
      <c r="I16" s="73" t="inlineStr">
        <is>
          <t>値段と原価 C12</t>
        </is>
      </c>
    </row>
    <row r="17">
      <c r="A17" s="33" t="inlineStr">
        <is>
          <t>値段と原価</t>
        </is>
      </c>
      <c r="B17" s="56" t="inlineStr">
        <is>
          <t>1拠点の原価</t>
        </is>
      </c>
      <c r="C17" s="17" t="n"/>
      <c r="D17" s="33" t="inlineStr">
        <is>
          <t>万円/年</t>
        </is>
      </c>
      <c r="E17" s="34">
        <f>'値段と原価'!$C$14</f>
        <v>84</v>
      </c>
      <c r="F17" s="77" t="n">
        <v>84</v>
      </c>
      <c r="G17" s="78">
        <f>IF(AND(ISNUMBER(E17),ISNUMBER(F17)),E17-F17,"─")</f>
        <v>0</v>
      </c>
      <c r="H17" s="79" t="str">
        <f>IF(ISNUMBER(G17),IF(ABS(G17)&lt;='前提'!$E$178,"一致","不一致"),IF(E17=F17,"一致","不一致"))</f>
        <v>一致</v>
      </c>
      <c r="I17" s="73" t="inlineStr">
        <is>
          <t>値段と原価 C14</t>
        </is>
      </c>
    </row>
    <row r="18">
      <c r="A18" s="33" t="inlineStr">
        <is>
          <t>値段と原価</t>
        </is>
      </c>
      <c r="B18" s="56" t="inlineStr">
        <is>
          <t>1拠点の粗利</t>
        </is>
      </c>
      <c r="C18" s="17" t="n"/>
      <c r="D18" s="33" t="inlineStr">
        <is>
          <t>万円/年</t>
        </is>
      </c>
      <c r="E18" s="34">
        <f>'値段と原価'!$C$15</f>
        <v>216</v>
      </c>
      <c r="F18" s="77" t="n">
        <v>216</v>
      </c>
      <c r="G18" s="78">
        <f>IF(AND(ISNUMBER(E18),ISNUMBER(F18)),E18-F18,"─")</f>
        <v>0</v>
      </c>
      <c r="H18" s="79" t="str">
        <f>IF(ISNUMBER(G18),IF(ABS(G18)&lt;='前提'!$E$178,"一致","不一致"),IF(E18=F18,"一致","不一致"))</f>
        <v>一致</v>
      </c>
      <c r="I18" s="73" t="inlineStr">
        <is>
          <t>値段と原価 C15</t>
        </is>
      </c>
    </row>
    <row r="19">
      <c r="A19" s="33" t="inlineStr">
        <is>
          <t>値段と原価</t>
        </is>
      </c>
      <c r="B19" s="56" t="inlineStr">
        <is>
          <t>粗利率（利用料）</t>
        </is>
      </c>
      <c r="C19" s="17" t="n"/>
      <c r="D19" s="33" t="inlineStr">
        <is>
          <t>割合</t>
        </is>
      </c>
      <c r="E19" s="81">
        <f>'値段と原価'!$C$16</f>
        <v>0.72</v>
      </c>
      <c r="F19" s="82" t="n">
        <v>0.72</v>
      </c>
      <c r="G19" s="78">
        <f>IF(AND(ISNUMBER(E19),ISNUMBER(F19)),E19-F19,"─")</f>
        <v>0</v>
      </c>
      <c r="H19" s="79" t="str">
        <f>IF(ISNUMBER(G19),IF(ABS(G19)&lt;='前提'!$E$178,"一致","不一致"),IF(E19=F19,"一致","不一致"))</f>
        <v>一致</v>
      </c>
      <c r="I19" s="73" t="inlineStr">
        <is>
          <t>値段と原価 C16</t>
        </is>
      </c>
    </row>
    <row r="20">
      <c r="A20" s="33" t="inlineStr">
        <is>
          <t>値段と原価</t>
        </is>
      </c>
      <c r="B20" s="56" t="inlineStr">
        <is>
          <t>粗利率：5台・大事な場面だけ</t>
        </is>
      </c>
      <c r="C20" s="17" t="n"/>
      <c r="D20" s="33" t="inlineStr">
        <is>
          <t>割合</t>
        </is>
      </c>
      <c r="E20" s="81">
        <f>'値段と原価'!$D$19</f>
        <v>0.733333333333333</v>
      </c>
      <c r="F20" s="82" t="n">
        <v>0.7333333333333334</v>
      </c>
      <c r="G20" s="78">
        <f>IF(AND(ISNUMBER(E20),ISNUMBER(F20)),E20-F20,"─")</f>
        <v>0</v>
      </c>
      <c r="H20" s="79" t="str">
        <f>IF(ISNUMBER(G20),IF(ABS(G20)&lt;='前提'!$E$178,"一致","不一致"),IF(E20=F20,"一致","不一致"))</f>
        <v>一致</v>
      </c>
      <c r="I20" s="73" t="inlineStr">
        <is>
          <t>値段と原価 D19</t>
        </is>
      </c>
    </row>
    <row r="21">
      <c r="A21" s="33" t="inlineStr">
        <is>
          <t>値段と原価</t>
        </is>
      </c>
      <c r="B21" s="56" t="inlineStr">
        <is>
          <t>粗利率：5台・全編を毎秒解析</t>
        </is>
      </c>
      <c r="C21" s="17" t="n"/>
      <c r="D21" s="33" t="inlineStr">
        <is>
          <t>割合</t>
        </is>
      </c>
      <c r="E21" s="81">
        <f>'値段と原価'!$E$19</f>
        <v>-0.733333333333333</v>
      </c>
      <c r="F21" s="82" t="n">
        <v>-0.7333333333333334</v>
      </c>
      <c r="G21" s="78">
        <f>IF(AND(ISNUMBER(E21),ISNUMBER(F21)),E21-F21,"─")</f>
        <v>0</v>
      </c>
      <c r="H21" s="79" t="str">
        <f>IF(ISNUMBER(G21),IF(ABS(G21)&lt;='前提'!$E$178,"一致","不一致"),IF(E21=F21,"一致","不一致"))</f>
        <v>一致</v>
      </c>
      <c r="I21" s="73" t="inlineStr">
        <is>
          <t>値段と原価 E19</t>
        </is>
      </c>
    </row>
    <row r="22">
      <c r="A22" s="33" t="inlineStr">
        <is>
          <t>値段と原価</t>
        </is>
      </c>
      <c r="B22" s="56" t="inlineStr">
        <is>
          <t>粗利率：10台・大事な場面だけ</t>
        </is>
      </c>
      <c r="C22" s="17" t="n"/>
      <c r="D22" s="33" t="inlineStr">
        <is>
          <t>割合</t>
        </is>
      </c>
      <c r="E22" s="81">
        <f>'値段と原価'!$D$20</f>
        <v>0.72</v>
      </c>
      <c r="F22" s="82" t="n">
        <v>0.72</v>
      </c>
      <c r="G22" s="78">
        <f>IF(AND(ISNUMBER(E22),ISNUMBER(F22)),E22-F22,"─")</f>
        <v>0</v>
      </c>
      <c r="H22" s="79" t="str">
        <f>IF(ISNUMBER(G22),IF(ABS(G22)&lt;='前提'!$E$178,"一致","不一致"),IF(E22=F22,"一致","不一致"))</f>
        <v>一致</v>
      </c>
      <c r="I22" s="73" t="inlineStr">
        <is>
          <t>値段と原価 D20</t>
        </is>
      </c>
    </row>
    <row r="23">
      <c r="A23" s="33" t="inlineStr">
        <is>
          <t>値段と原価</t>
        </is>
      </c>
      <c r="B23" s="56" t="inlineStr">
        <is>
          <t>粗利率：10台・全編を毎秒解析</t>
        </is>
      </c>
      <c r="C23" s="17" t="n"/>
      <c r="D23" s="33" t="inlineStr">
        <is>
          <t>割合</t>
        </is>
      </c>
      <c r="E23" s="81">
        <f>'値段と原価'!$E$20</f>
        <v>-1.04</v>
      </c>
      <c r="F23" s="82" t="n">
        <v>-1.04</v>
      </c>
      <c r="G23" s="78">
        <f>IF(AND(ISNUMBER(E23),ISNUMBER(F23)),E23-F23,"─")</f>
        <v>0</v>
      </c>
      <c r="H23" s="79" t="str">
        <f>IF(ISNUMBER(G23),IF(ABS(G23)&lt;='前提'!$E$178,"一致","不一致"),IF(E23=F23,"一致","不一致"))</f>
        <v>一致</v>
      </c>
      <c r="I23" s="73" t="inlineStr">
        <is>
          <t>値段と原価 E20</t>
        </is>
      </c>
    </row>
    <row r="24">
      <c r="A24" s="33" t="inlineStr">
        <is>
          <t>値段と原価</t>
        </is>
      </c>
      <c r="B24" s="56" t="inlineStr">
        <is>
          <t>粗利率：25台・大事な場面だけ</t>
        </is>
      </c>
      <c r="C24" s="17" t="n"/>
      <c r="D24" s="33" t="inlineStr">
        <is>
          <t>割合</t>
        </is>
      </c>
      <c r="E24" s="81">
        <f>'値段と原価'!$D$21</f>
        <v>0.709090909090909</v>
      </c>
      <c r="F24" s="82" t="n">
        <v>0.7090909090909092</v>
      </c>
      <c r="G24" s="78">
        <f>IF(AND(ISNUMBER(E24),ISNUMBER(F24)),E24-F24,"─")</f>
        <v>0</v>
      </c>
      <c r="H24" s="79" t="str">
        <f>IF(ISNUMBER(G24),IF(ABS(G24)&lt;='前提'!$E$178,"一致","不一致"),IF(E24=F24,"一致","不一致"))</f>
        <v>一致</v>
      </c>
      <c r="I24" s="73" t="inlineStr">
        <is>
          <t>値段と原価 D21</t>
        </is>
      </c>
    </row>
    <row r="25">
      <c r="A25" s="33" t="inlineStr">
        <is>
          <t>値段と原価</t>
        </is>
      </c>
      <c r="B25" s="56" t="inlineStr">
        <is>
          <t>粗利率：25台・全編を毎秒解析</t>
        </is>
      </c>
      <c r="C25" s="17" t="n"/>
      <c r="D25" s="33" t="inlineStr">
        <is>
          <t>割合</t>
        </is>
      </c>
      <c r="E25" s="81">
        <f>'値段と原価'!$E$21</f>
        <v>-1.29090909090909</v>
      </c>
      <c r="F25" s="82" t="n">
        <v>-1.290909090909091</v>
      </c>
      <c r="G25" s="78">
        <f>IF(AND(ISNUMBER(E25),ISNUMBER(F25)),E25-F25,"─")</f>
        <v>0</v>
      </c>
      <c r="H25" s="79" t="str">
        <f>IF(ISNUMBER(G25),IF(ABS(G25)&lt;='前提'!$E$178,"一致","不一致"),IF(E25=F25,"一致","不一致"))</f>
        <v>一致</v>
      </c>
      <c r="I25" s="73" t="inlineStr">
        <is>
          <t>値段と原価 E21</t>
        </is>
      </c>
    </row>
    <row r="26">
      <c r="A26" s="33" t="inlineStr">
        <is>
          <t>導入支援</t>
        </is>
      </c>
      <c r="B26" s="56" t="inlineStr">
        <is>
          <t>1人日の人件費</t>
        </is>
      </c>
      <c r="C26" s="17" t="n"/>
      <c r="D26" s="33" t="inlineStr">
        <is>
          <t>万円/人日</t>
        </is>
      </c>
      <c r="E26" s="34">
        <f>'導入支援'!$C$16</f>
        <v>3</v>
      </c>
      <c r="F26" s="77" t="n">
        <v>3</v>
      </c>
      <c r="G26" s="78">
        <f>IF(AND(ISNUMBER(E26),ISNUMBER(F26)),E26-F26,"─")</f>
        <v>0</v>
      </c>
      <c r="H26" s="79" t="str">
        <f>IF(ISNUMBER(G26),IF(ABS(G26)&lt;='前提'!$E$178,"一致","不一致"),IF(E26=F26,"一致","不一致"))</f>
        <v>一致</v>
      </c>
      <c r="I26" s="73" t="inlineStr">
        <is>
          <t>導入支援 C16</t>
        </is>
      </c>
    </row>
    <row r="27">
      <c r="A27" s="33" t="inlineStr">
        <is>
          <t>導入支援</t>
        </is>
      </c>
      <c r="B27" s="56" t="inlineStr">
        <is>
          <t>導入支援の原価</t>
        </is>
      </c>
      <c r="C27" s="17" t="n"/>
      <c r="D27" s="33" t="inlineStr">
        <is>
          <t>万円/拠点</t>
        </is>
      </c>
      <c r="E27" s="34">
        <f>'導入支援'!$C$19</f>
        <v>141</v>
      </c>
      <c r="F27" s="77" t="n">
        <v>141</v>
      </c>
      <c r="G27" s="78">
        <f>IF(AND(ISNUMBER(E27),ISNUMBER(F27)),E27-F27,"─")</f>
        <v>0</v>
      </c>
      <c r="H27" s="79" t="str">
        <f>IF(ISNUMBER(G27),IF(ABS(G27)&lt;='前提'!$E$178,"一致","不一致"),IF(E27=F27,"一致","不一致"))</f>
        <v>一致</v>
      </c>
      <c r="I27" s="73" t="inlineStr">
        <is>
          <t>導入支援 C19</t>
        </is>
      </c>
    </row>
    <row r="28">
      <c r="A28" s="33" t="inlineStr">
        <is>
          <t>導入支援</t>
        </is>
      </c>
      <c r="B28" s="56" t="inlineStr">
        <is>
          <t>導入支援の粗利</t>
        </is>
      </c>
      <c r="C28" s="17" t="n"/>
      <c r="D28" s="33" t="inlineStr">
        <is>
          <t>万円/拠点</t>
        </is>
      </c>
      <c r="E28" s="34">
        <f>'導入支援'!$C$21</f>
        <v>59</v>
      </c>
      <c r="F28" s="77" t="n">
        <v>59</v>
      </c>
      <c r="G28" s="78">
        <f>IF(AND(ISNUMBER(E28),ISNUMBER(F28)),E28-F28,"─")</f>
        <v>0</v>
      </c>
      <c r="H28" s="79" t="str">
        <f>IF(ISNUMBER(G28),IF(ABS(G28)&lt;='前提'!$E$178,"一致","不一致"),IF(E28=F28,"一致","不一致"))</f>
        <v>一致</v>
      </c>
      <c r="I28" s="73" t="inlineStr">
        <is>
          <t>導入支援 C21</t>
        </is>
      </c>
    </row>
    <row r="29">
      <c r="A29" s="33" t="inlineStr">
        <is>
          <t>拠点</t>
        </is>
      </c>
      <c r="B29" s="56" t="inlineStr">
        <is>
          <t>期末の拠点</t>
        </is>
      </c>
      <c r="C29" s="83" t="n">
        <v>1</v>
      </c>
      <c r="D29" s="33" t="inlineStr">
        <is>
          <t>拠点</t>
        </is>
      </c>
      <c r="E29" s="34">
        <f>'拠点と売上'!$C$9</f>
        <v>3</v>
      </c>
      <c r="F29" s="77" t="n">
        <v>3</v>
      </c>
      <c r="G29" s="78">
        <f>IF(AND(ISNUMBER(E29),ISNUMBER(F29)),E29-F29,"─")</f>
        <v>0</v>
      </c>
      <c r="H29" s="79" t="str">
        <f>IF(ISNUMBER(G29),IF(ABS(G29)&lt;='前提'!$E$178,"一致","不一致"),IF(E29=F29,"一致","不一致"))</f>
        <v>一致</v>
      </c>
      <c r="I29" s="73" t="inlineStr">
        <is>
          <t>拠点と売上 C9</t>
        </is>
      </c>
    </row>
    <row r="30">
      <c r="A30" s="33" t="inlineStr">
        <is>
          <t>拠点</t>
        </is>
      </c>
      <c r="B30" s="56" t="inlineStr">
        <is>
          <t>期末の拠点</t>
        </is>
      </c>
      <c r="C30" s="83" t="n">
        <v>2</v>
      </c>
      <c r="D30" s="33" t="inlineStr">
        <is>
          <t>拠点</t>
        </is>
      </c>
      <c r="E30" s="34">
        <f>'拠点と売上'!$D$9</f>
        <v>12</v>
      </c>
      <c r="F30" s="77" t="n">
        <v>12</v>
      </c>
      <c r="G30" s="78">
        <f>IF(AND(ISNUMBER(E30),ISNUMBER(F30)),E30-F30,"─")</f>
        <v>0</v>
      </c>
      <c r="H30" s="79" t="str">
        <f>IF(ISNUMBER(G30),IF(ABS(G30)&lt;='前提'!$E$178,"一致","不一致"),IF(E30=F30,"一致","不一致"))</f>
        <v>一致</v>
      </c>
      <c r="I30" s="73" t="inlineStr">
        <is>
          <t>拠点と売上 D9</t>
        </is>
      </c>
    </row>
    <row r="31">
      <c r="A31" s="33" t="inlineStr">
        <is>
          <t>拠点</t>
        </is>
      </c>
      <c r="B31" s="56" t="inlineStr">
        <is>
          <t>期末の拠点</t>
        </is>
      </c>
      <c r="C31" s="83" t="n">
        <v>3</v>
      </c>
      <c r="D31" s="33" t="inlineStr">
        <is>
          <t>拠点</t>
        </is>
      </c>
      <c r="E31" s="34">
        <f>'拠点と売上'!$E$9</f>
        <v>29</v>
      </c>
      <c r="F31" s="77" t="n">
        <v>29</v>
      </c>
      <c r="G31" s="78">
        <f>IF(AND(ISNUMBER(E31),ISNUMBER(F31)),E31-F31,"─")</f>
        <v>0</v>
      </c>
      <c r="H31" s="79" t="str">
        <f>IF(ISNUMBER(G31),IF(ABS(G31)&lt;='前提'!$E$178,"一致","不一致"),IF(E31=F31,"一致","不一致"))</f>
        <v>一致</v>
      </c>
      <c r="I31" s="73" t="inlineStr">
        <is>
          <t>拠点と売上 E9</t>
        </is>
      </c>
    </row>
    <row r="32">
      <c r="A32" s="33" t="inlineStr">
        <is>
          <t>拠点</t>
        </is>
      </c>
      <c r="B32" s="56" t="inlineStr">
        <is>
          <t>期末の拠点</t>
        </is>
      </c>
      <c r="C32" s="83" t="n">
        <v>4</v>
      </c>
      <c r="D32" s="33" t="inlineStr">
        <is>
          <t>拠点</t>
        </is>
      </c>
      <c r="E32" s="34">
        <f>'拠点と売上'!$F$9</f>
        <v>53</v>
      </c>
      <c r="F32" s="77" t="n">
        <v>53</v>
      </c>
      <c r="G32" s="78">
        <f>IF(AND(ISNUMBER(E32),ISNUMBER(F32)),E32-F32,"─")</f>
        <v>0</v>
      </c>
      <c r="H32" s="79" t="str">
        <f>IF(ISNUMBER(G32),IF(ABS(G32)&lt;='前提'!$E$178,"一致","不一致"),IF(E32=F32,"一致","不一致"))</f>
        <v>一致</v>
      </c>
      <c r="I32" s="73" t="inlineStr">
        <is>
          <t>拠点と売上 F9</t>
        </is>
      </c>
    </row>
    <row r="33">
      <c r="A33" s="33" t="inlineStr">
        <is>
          <t>拠点</t>
        </is>
      </c>
      <c r="B33" s="56" t="inlineStr">
        <is>
          <t>期末の拠点</t>
        </is>
      </c>
      <c r="C33" s="83" t="n">
        <v>5</v>
      </c>
      <c r="D33" s="33" t="inlineStr">
        <is>
          <t>拠点</t>
        </is>
      </c>
      <c r="E33" s="34">
        <f>'拠点と売上'!$G$9</f>
        <v>81</v>
      </c>
      <c r="F33" s="77" t="n">
        <v>81</v>
      </c>
      <c r="G33" s="78">
        <f>IF(AND(ISNUMBER(E33),ISNUMBER(F33)),E33-F33,"─")</f>
        <v>0</v>
      </c>
      <c r="H33" s="79" t="str">
        <f>IF(ISNUMBER(G33),IF(ABS(G33)&lt;='前提'!$E$178,"一致","不一致"),IF(E33=F33,"一致","不一致"))</f>
        <v>一致</v>
      </c>
      <c r="I33" s="73" t="inlineStr">
        <is>
          <t>拠点と売上 G9</t>
        </is>
      </c>
    </row>
    <row r="34">
      <c r="A34" s="33" t="inlineStr">
        <is>
          <t>拠点</t>
        </is>
      </c>
      <c r="B34" s="56" t="inlineStr">
        <is>
          <t>期末の拠点</t>
        </is>
      </c>
      <c r="C34" s="83" t="n">
        <v>6</v>
      </c>
      <c r="D34" s="33" t="inlineStr">
        <is>
          <t>拠点</t>
        </is>
      </c>
      <c r="E34" s="34">
        <f>'拠点と売上'!$H$9</f>
        <v>109</v>
      </c>
      <c r="F34" s="77" t="n">
        <v>109</v>
      </c>
      <c r="G34" s="78">
        <f>IF(AND(ISNUMBER(E34),ISNUMBER(F34)),E34-F34,"─")</f>
        <v>0</v>
      </c>
      <c r="H34" s="79" t="str">
        <f>IF(ISNUMBER(G34),IF(ABS(G34)&lt;='前提'!$E$178,"一致","不一致"),IF(E34=F34,"一致","不一致"))</f>
        <v>一致</v>
      </c>
      <c r="I34" s="73" t="inlineStr">
        <is>
          <t>拠点と売上 H9</t>
        </is>
      </c>
    </row>
    <row r="35">
      <c r="A35" s="33" t="inlineStr">
        <is>
          <t>拠点</t>
        </is>
      </c>
      <c r="B35" s="56" t="inlineStr">
        <is>
          <t>期末の拠点</t>
        </is>
      </c>
      <c r="C35" s="83" t="n">
        <v>7</v>
      </c>
      <c r="D35" s="33" t="inlineStr">
        <is>
          <t>拠点</t>
        </is>
      </c>
      <c r="E35" s="34">
        <f>'拠点と売上'!$I$9</f>
        <v>136</v>
      </c>
      <c r="F35" s="77" t="n">
        <v>136</v>
      </c>
      <c r="G35" s="78">
        <f>IF(AND(ISNUMBER(E35),ISNUMBER(F35)),E35-F35,"─")</f>
        <v>0</v>
      </c>
      <c r="H35" s="79" t="str">
        <f>IF(ISNUMBER(G35),IF(ABS(G35)&lt;='前提'!$E$178,"一致","不一致"),IF(E35=F35,"一致","不一致"))</f>
        <v>一致</v>
      </c>
      <c r="I35" s="73" t="inlineStr">
        <is>
          <t>拠点と売上 I9</t>
        </is>
      </c>
    </row>
    <row r="36">
      <c r="A36" s="33" t="inlineStr">
        <is>
          <t>拠点</t>
        </is>
      </c>
      <c r="B36" s="56" t="inlineStr">
        <is>
          <t>期末の拠点</t>
        </is>
      </c>
      <c r="C36" s="83" t="n">
        <v>8</v>
      </c>
      <c r="D36" s="33" t="inlineStr">
        <is>
          <t>拠点</t>
        </is>
      </c>
      <c r="E36" s="34">
        <f>'拠点と売上'!$J$9</f>
        <v>162</v>
      </c>
      <c r="F36" s="77" t="n">
        <v>162</v>
      </c>
      <c r="G36" s="78">
        <f>IF(AND(ISNUMBER(E36),ISNUMBER(F36)),E36-F36,"─")</f>
        <v>0</v>
      </c>
      <c r="H36" s="79" t="str">
        <f>IF(ISNUMBER(G36),IF(ABS(G36)&lt;='前提'!$E$178,"一致","不一致"),IF(E36=F36,"一致","不一致"))</f>
        <v>一致</v>
      </c>
      <c r="I36" s="73" t="inlineStr">
        <is>
          <t>拠点と売上 J9</t>
        </is>
      </c>
    </row>
    <row r="37">
      <c r="A37" s="33" t="inlineStr">
        <is>
          <t>拠点</t>
        </is>
      </c>
      <c r="B37" s="56" t="inlineStr">
        <is>
          <t>期末の拠点</t>
        </is>
      </c>
      <c r="C37" s="83" t="n">
        <v>9</v>
      </c>
      <c r="D37" s="33" t="inlineStr">
        <is>
          <t>拠点</t>
        </is>
      </c>
      <c r="E37" s="34">
        <f>'拠点と売上'!$K$9</f>
        <v>186</v>
      </c>
      <c r="F37" s="77" t="n">
        <v>186</v>
      </c>
      <c r="G37" s="78">
        <f>IF(AND(ISNUMBER(E37),ISNUMBER(F37)),E37-F37,"─")</f>
        <v>0</v>
      </c>
      <c r="H37" s="79" t="str">
        <f>IF(ISNUMBER(G37),IF(ABS(G37)&lt;='前提'!$E$178,"一致","不一致"),IF(E37=F37,"一致","不一致"))</f>
        <v>一致</v>
      </c>
      <c r="I37" s="73" t="inlineStr">
        <is>
          <t>拠点と売上 K9</t>
        </is>
      </c>
    </row>
    <row r="38">
      <c r="A38" s="33" t="inlineStr">
        <is>
          <t>拠点</t>
        </is>
      </c>
      <c r="B38" s="56" t="inlineStr">
        <is>
          <t>期末の拠点</t>
        </is>
      </c>
      <c r="C38" s="83" t="n">
        <v>10</v>
      </c>
      <c r="D38" s="33" t="inlineStr">
        <is>
          <t>拠点</t>
        </is>
      </c>
      <c r="E38" s="34">
        <f>'拠点と売上'!$L$9</f>
        <v>207</v>
      </c>
      <c r="F38" s="77" t="n">
        <v>207</v>
      </c>
      <c r="G38" s="78">
        <f>IF(AND(ISNUMBER(E38),ISNUMBER(F38)),E38-F38,"─")</f>
        <v>0</v>
      </c>
      <c r="H38" s="79" t="str">
        <f>IF(ISNUMBER(G38),IF(ABS(G38)&lt;='前提'!$E$178,"一致","不一致"),IF(E38=F38,"一致","不一致"))</f>
        <v>一致</v>
      </c>
      <c r="I38" s="73" t="inlineStr">
        <is>
          <t>拠点と売上 L9</t>
        </is>
      </c>
    </row>
    <row r="39">
      <c r="A39" s="33" t="inlineStr">
        <is>
          <t>売上</t>
        </is>
      </c>
      <c r="B39" s="56" t="inlineStr">
        <is>
          <t>売上</t>
        </is>
      </c>
      <c r="C39" s="83" t="n">
        <v>1</v>
      </c>
      <c r="D39" s="33" t="inlineStr">
        <is>
          <t>万円</t>
        </is>
      </c>
      <c r="E39" s="34">
        <f>'拠点と売上'!$C$22</f>
        <v>1200</v>
      </c>
      <c r="F39" s="77" t="n">
        <v>1200</v>
      </c>
      <c r="G39" s="78">
        <f>IF(AND(ISNUMBER(E39),ISNUMBER(F39)),E39-F39,"─")</f>
        <v>0</v>
      </c>
      <c r="H39" s="79" t="str">
        <f>IF(ISNUMBER(G39),IF(ABS(G39)&lt;='前提'!$E$178,"一致","不一致"),IF(E39=F39,"一致","不一致"))</f>
        <v>一致</v>
      </c>
      <c r="I39" s="73" t="inlineStr">
        <is>
          <t>拠点と売上 C22</t>
        </is>
      </c>
    </row>
    <row r="40">
      <c r="A40" s="33" t="inlineStr">
        <is>
          <t>売上</t>
        </is>
      </c>
      <c r="B40" s="56" t="inlineStr">
        <is>
          <t>売上</t>
        </is>
      </c>
      <c r="C40" s="83" t="n">
        <v>2</v>
      </c>
      <c r="D40" s="33" t="inlineStr">
        <is>
          <t>万円</t>
        </is>
      </c>
      <c r="E40" s="34">
        <f>'拠点と売上'!$D$22</f>
        <v>4800</v>
      </c>
      <c r="F40" s="77" t="n">
        <v>4800</v>
      </c>
      <c r="G40" s="78">
        <f>IF(AND(ISNUMBER(E40),ISNUMBER(F40)),E40-F40,"─")</f>
        <v>0</v>
      </c>
      <c r="H40" s="79" t="str">
        <f>IF(ISNUMBER(G40),IF(ABS(G40)&lt;='前提'!$E$178,"一致","不一致"),IF(E40=F40,"一致","不一致"))</f>
        <v>一致</v>
      </c>
      <c r="I40" s="73" t="inlineStr">
        <is>
          <t>拠点と売上 D22</t>
        </is>
      </c>
    </row>
    <row r="41">
      <c r="A41" s="33" t="inlineStr">
        <is>
          <t>売上</t>
        </is>
      </c>
      <c r="B41" s="56" t="inlineStr">
        <is>
          <t>売上</t>
        </is>
      </c>
      <c r="C41" s="83" t="n">
        <v>3</v>
      </c>
      <c r="D41" s="33" t="inlineStr">
        <is>
          <t>万円</t>
        </is>
      </c>
      <c r="E41" s="34">
        <f>'拠点と売上'!$E$22</f>
        <v>10700</v>
      </c>
      <c r="F41" s="77" t="n">
        <v>10700</v>
      </c>
      <c r="G41" s="78">
        <f>IF(AND(ISNUMBER(E41),ISNUMBER(F41)),E41-F41,"─")</f>
        <v>0</v>
      </c>
      <c r="H41" s="79" t="str">
        <f>IF(ISNUMBER(G41),IF(ABS(G41)&lt;='前提'!$E$178,"一致","不一致"),IF(E41=F41,"一致","不一致"))</f>
        <v>一致</v>
      </c>
      <c r="I41" s="73" t="inlineStr">
        <is>
          <t>拠点と売上 E22</t>
        </is>
      </c>
    </row>
    <row r="42">
      <c r="A42" s="33" t="inlineStr">
        <is>
          <t>売上</t>
        </is>
      </c>
      <c r="B42" s="56" t="inlineStr">
        <is>
          <t>売上</t>
        </is>
      </c>
      <c r="C42" s="83" t="n">
        <v>4</v>
      </c>
      <c r="D42" s="33" t="inlineStr">
        <is>
          <t>万円</t>
        </is>
      </c>
      <c r="E42" s="34">
        <f>'拠点と売上'!$F$22</f>
        <v>17800</v>
      </c>
      <c r="F42" s="77" t="n">
        <v>17800</v>
      </c>
      <c r="G42" s="78">
        <f>IF(AND(ISNUMBER(E42),ISNUMBER(F42)),E42-F42,"─")</f>
        <v>0</v>
      </c>
      <c r="H42" s="79" t="str">
        <f>IF(ISNUMBER(G42),IF(ABS(G42)&lt;='前提'!$E$178,"一致","不一致"),IF(E42=F42,"一致","不一致"))</f>
        <v>一致</v>
      </c>
      <c r="I42" s="73" t="inlineStr">
        <is>
          <t>拠点と売上 F22</t>
        </is>
      </c>
    </row>
    <row r="43">
      <c r="A43" s="33" t="inlineStr">
        <is>
          <t>売上</t>
        </is>
      </c>
      <c r="B43" s="56" t="inlineStr">
        <is>
          <t>売上</t>
        </is>
      </c>
      <c r="C43" s="83" t="n">
        <v>5</v>
      </c>
      <c r="D43" s="33" t="inlineStr">
        <is>
          <t>万円</t>
        </is>
      </c>
      <c r="E43" s="34">
        <f>'拠点と売上'!$G$22</f>
        <v>26900</v>
      </c>
      <c r="F43" s="77" t="n">
        <v>26900</v>
      </c>
      <c r="G43" s="78">
        <f>IF(AND(ISNUMBER(E43),ISNUMBER(F43)),E43-F43,"─")</f>
        <v>0</v>
      </c>
      <c r="H43" s="79" t="str">
        <f>IF(ISNUMBER(G43),IF(ABS(G43)&lt;='前提'!$E$178,"一致","不一致"),IF(E43=F43,"一致","不一致"))</f>
        <v>一致</v>
      </c>
      <c r="I43" s="73" t="inlineStr">
        <is>
          <t>拠点と売上 G22</t>
        </is>
      </c>
    </row>
    <row r="44">
      <c r="A44" s="33" t="inlineStr">
        <is>
          <t>売上</t>
        </is>
      </c>
      <c r="B44" s="56" t="inlineStr">
        <is>
          <t>売上</t>
        </is>
      </c>
      <c r="C44" s="83" t="n">
        <v>6</v>
      </c>
      <c r="D44" s="33" t="inlineStr">
        <is>
          <t>万円</t>
        </is>
      </c>
      <c r="E44" s="34">
        <f>'拠点と売上'!$H$22</f>
        <v>35500</v>
      </c>
      <c r="F44" s="77" t="n">
        <v>35500</v>
      </c>
      <c r="G44" s="78">
        <f>IF(AND(ISNUMBER(E44),ISNUMBER(F44)),E44-F44,"─")</f>
        <v>0</v>
      </c>
      <c r="H44" s="79" t="str">
        <f>IF(ISNUMBER(G44),IF(ABS(G44)&lt;='前提'!$E$178,"一致","不一致"),IF(E44=F44,"一致","不一致"))</f>
        <v>一致</v>
      </c>
      <c r="I44" s="73" t="inlineStr">
        <is>
          <t>拠点と売上 H22</t>
        </is>
      </c>
    </row>
    <row r="45">
      <c r="A45" s="33" t="inlineStr">
        <is>
          <t>売上</t>
        </is>
      </c>
      <c r="B45" s="56" t="inlineStr">
        <is>
          <t>売上</t>
        </is>
      </c>
      <c r="C45" s="83" t="n">
        <v>7</v>
      </c>
      <c r="D45" s="33" t="inlineStr">
        <is>
          <t>万円</t>
        </is>
      </c>
      <c r="E45" s="34">
        <f>'拠点と売上'!$I$22</f>
        <v>43800</v>
      </c>
      <c r="F45" s="77" t="n">
        <v>43800</v>
      </c>
      <c r="G45" s="78">
        <f>IF(AND(ISNUMBER(E45),ISNUMBER(F45)),E45-F45,"─")</f>
        <v>0</v>
      </c>
      <c r="H45" s="79" t="str">
        <f>IF(ISNUMBER(G45),IF(ABS(G45)&lt;='前提'!$E$178,"一致","不一致"),IF(E45=F45,"一致","不一致"))</f>
        <v>一致</v>
      </c>
      <c r="I45" s="73" t="inlineStr">
        <is>
          <t>拠点と売上 I22</t>
        </is>
      </c>
    </row>
    <row r="46">
      <c r="A46" s="33" t="inlineStr">
        <is>
          <t>売上</t>
        </is>
      </c>
      <c r="B46" s="56" t="inlineStr">
        <is>
          <t>売上</t>
        </is>
      </c>
      <c r="C46" s="83" t="n">
        <v>8</v>
      </c>
      <c r="D46" s="33" t="inlineStr">
        <is>
          <t>万円</t>
        </is>
      </c>
      <c r="E46" s="34">
        <f>'拠点と売上'!$J$22</f>
        <v>51800</v>
      </c>
      <c r="F46" s="77" t="n">
        <v>51800</v>
      </c>
      <c r="G46" s="78">
        <f>IF(AND(ISNUMBER(E46),ISNUMBER(F46)),E46-F46,"─")</f>
        <v>0</v>
      </c>
      <c r="H46" s="79" t="str">
        <f>IF(ISNUMBER(G46),IF(ABS(G46)&lt;='前提'!$E$178,"一致","不一致"),IF(E46=F46,"一致","不一致"))</f>
        <v>一致</v>
      </c>
      <c r="I46" s="73" t="inlineStr">
        <is>
          <t>拠点と売上 J22</t>
        </is>
      </c>
    </row>
    <row r="47">
      <c r="A47" s="33" t="inlineStr">
        <is>
          <t>売上</t>
        </is>
      </c>
      <c r="B47" s="56" t="inlineStr">
        <is>
          <t>売上</t>
        </is>
      </c>
      <c r="C47" s="83" t="n">
        <v>9</v>
      </c>
      <c r="D47" s="33" t="inlineStr">
        <is>
          <t>万円</t>
        </is>
      </c>
      <c r="E47" s="34">
        <f>'拠点と売上'!$K$22</f>
        <v>59100</v>
      </c>
      <c r="F47" s="77" t="n">
        <v>59100</v>
      </c>
      <c r="G47" s="78">
        <f>IF(AND(ISNUMBER(E47),ISNUMBER(F47)),E47-F47,"─")</f>
        <v>0</v>
      </c>
      <c r="H47" s="79" t="str">
        <f>IF(ISNUMBER(G47),IF(ABS(G47)&lt;='前提'!$E$178,"一致","不一致"),IF(E47=F47,"一致","不一致"))</f>
        <v>一致</v>
      </c>
      <c r="I47" s="73" t="inlineStr">
        <is>
          <t>拠点と売上 K22</t>
        </is>
      </c>
    </row>
    <row r="48">
      <c r="A48" s="33" t="inlineStr">
        <is>
          <t>売上</t>
        </is>
      </c>
      <c r="B48" s="56" t="inlineStr">
        <is>
          <t>売上</t>
        </is>
      </c>
      <c r="C48" s="83" t="n">
        <v>10</v>
      </c>
      <c r="D48" s="33" t="inlineStr">
        <is>
          <t>万円</t>
        </is>
      </c>
      <c r="E48" s="34">
        <f>'拠点と売上'!$L$22</f>
        <v>65500</v>
      </c>
      <c r="F48" s="77" t="n">
        <v>65500</v>
      </c>
      <c r="G48" s="78">
        <f>IF(AND(ISNUMBER(E48),ISNUMBER(F48)),E48-F48,"─")</f>
        <v>0</v>
      </c>
      <c r="H48" s="79" t="str">
        <f>IF(ISNUMBER(G48),IF(ABS(G48)&lt;='前提'!$E$178,"一致","不一致"),IF(E48=F48,"一致","不一致"))</f>
        <v>一致</v>
      </c>
      <c r="I48" s="73" t="inlineStr">
        <is>
          <t>拠点と売上 L22</t>
        </is>
      </c>
    </row>
    <row r="49">
      <c r="A49" s="33" t="inlineStr">
        <is>
          <t>粗利</t>
        </is>
      </c>
      <c r="B49" s="56" t="inlineStr">
        <is>
          <t>粗利</t>
        </is>
      </c>
      <c r="C49" s="83" t="n">
        <v>1</v>
      </c>
      <c r="D49" s="33" t="inlineStr">
        <is>
          <t>万円</t>
        </is>
      </c>
      <c r="E49" s="34">
        <f>'損益と現金'!$C$16</f>
        <v>314</v>
      </c>
      <c r="F49" s="77" t="n">
        <v>314</v>
      </c>
      <c r="G49" s="78">
        <f>IF(AND(ISNUMBER(E49),ISNUMBER(F49)),E49-F49,"─")</f>
        <v>0</v>
      </c>
      <c r="H49" s="79" t="str">
        <f>IF(ISNUMBER(G49),IF(ABS(G49)&lt;='前提'!$E$178,"一致","不一致"),IF(E49=F49,"一致","不一致"))</f>
        <v>一致</v>
      </c>
      <c r="I49" s="73" t="inlineStr">
        <is>
          <t>損益と現金 C16</t>
        </is>
      </c>
    </row>
    <row r="50">
      <c r="A50" s="33" t="inlineStr">
        <is>
          <t>粗利</t>
        </is>
      </c>
      <c r="B50" s="56" t="inlineStr">
        <is>
          <t>粗利</t>
        </is>
      </c>
      <c r="C50" s="83" t="n">
        <v>2</v>
      </c>
      <c r="D50" s="33" t="inlineStr">
        <is>
          <t>万円</t>
        </is>
      </c>
      <c r="E50" s="34">
        <f>'損益と現金'!$D$16</f>
        <v>2401</v>
      </c>
      <c r="F50" s="77" t="n">
        <v>2401</v>
      </c>
      <c r="G50" s="78">
        <f>IF(AND(ISNUMBER(E50),ISNUMBER(F50)),E50-F50,"─")</f>
        <v>0</v>
      </c>
      <c r="H50" s="79" t="str">
        <f>IF(ISNUMBER(G50),IF(ABS(G50)&lt;='前提'!$E$178,"一致","不一致"),IF(E50=F50,"一致","不一致"))</f>
        <v>一致</v>
      </c>
      <c r="I50" s="73" t="inlineStr">
        <is>
          <t>損益と現金 D16</t>
        </is>
      </c>
    </row>
    <row r="51">
      <c r="A51" s="33" t="inlineStr">
        <is>
          <t>粗利</t>
        </is>
      </c>
      <c r="B51" s="56" t="inlineStr">
        <is>
          <t>粗利</t>
        </is>
      </c>
      <c r="C51" s="83" t="n">
        <v>3</v>
      </c>
      <c r="D51" s="33" t="inlineStr">
        <is>
          <t>万円</t>
        </is>
      </c>
      <c r="E51" s="34">
        <f>'損益と現金'!$E$16</f>
        <v>5748.66666666667</v>
      </c>
      <c r="F51" s="77" t="n">
        <v>5748.666666666667</v>
      </c>
      <c r="G51" s="78">
        <f>IF(AND(ISNUMBER(E51),ISNUMBER(F51)),E51-F51,"─")</f>
        <v>0</v>
      </c>
      <c r="H51" s="79" t="str">
        <f>IF(ISNUMBER(G51),IF(ABS(G51)&lt;='前提'!$E$178,"一致","不一致"),IF(E51=F51,"一致","不一致"))</f>
        <v>一致</v>
      </c>
      <c r="I51" s="73" t="inlineStr">
        <is>
          <t>損益と現金 E16</t>
        </is>
      </c>
    </row>
    <row r="52">
      <c r="A52" s="33" t="inlineStr">
        <is>
          <t>粗利</t>
        </is>
      </c>
      <c r="B52" s="56" t="inlineStr">
        <is>
          <t>粗利</t>
        </is>
      </c>
      <c r="C52" s="83" t="n">
        <v>4</v>
      </c>
      <c r="D52" s="33" t="inlineStr">
        <is>
          <t>万円</t>
        </is>
      </c>
      <c r="E52" s="34">
        <f>'損益と現金'!$F$16</f>
        <v>10308.3333333333</v>
      </c>
      <c r="F52" s="77" t="n">
        <v>10308.33333333333</v>
      </c>
      <c r="G52" s="78">
        <f>IF(AND(ISNUMBER(E52),ISNUMBER(F52)),E52-F52,"─")</f>
        <v>0</v>
      </c>
      <c r="H52" s="79" t="str">
        <f>IF(ISNUMBER(G52),IF(ABS(G52)&lt;='前提'!$E$178,"一致","不一致"),IF(E52=F52,"一致","不一致"))</f>
        <v>一致</v>
      </c>
      <c r="I52" s="73" t="inlineStr">
        <is>
          <t>損益と現金 F16</t>
        </is>
      </c>
    </row>
    <row r="53">
      <c r="A53" s="33" t="inlineStr">
        <is>
          <t>粗利</t>
        </is>
      </c>
      <c r="B53" s="56" t="inlineStr">
        <is>
          <t>粗利</t>
        </is>
      </c>
      <c r="C53" s="83" t="n">
        <v>5</v>
      </c>
      <c r="D53" s="33" t="inlineStr">
        <is>
          <t>万円</t>
        </is>
      </c>
      <c r="E53" s="34">
        <f>'損益と現金'!$G$16</f>
        <v>16195.6666666667</v>
      </c>
      <c r="F53" s="77" t="n">
        <v>16195.66666666667</v>
      </c>
      <c r="G53" s="78">
        <f>IF(AND(ISNUMBER(E53),ISNUMBER(F53)),E53-F53,"─")</f>
        <v>0</v>
      </c>
      <c r="H53" s="79" t="str">
        <f>IF(ISNUMBER(G53),IF(ABS(G53)&lt;='前提'!$E$178,"一致","不一致"),IF(E53=F53,"一致","不一致"))</f>
        <v>一致</v>
      </c>
      <c r="I53" s="73" t="inlineStr">
        <is>
          <t>損益と現金 G16</t>
        </is>
      </c>
    </row>
    <row r="54">
      <c r="A54" s="33" t="inlineStr">
        <is>
          <t>粗利</t>
        </is>
      </c>
      <c r="B54" s="56" t="inlineStr">
        <is>
          <t>粗利</t>
        </is>
      </c>
      <c r="C54" s="83" t="n">
        <v>6</v>
      </c>
      <c r="D54" s="33" t="inlineStr">
        <is>
          <t>万円</t>
        </is>
      </c>
      <c r="E54" s="34">
        <f>'損益と現金'!$H$16</f>
        <v>22113.3333333333</v>
      </c>
      <c r="F54" s="77" t="n">
        <v>22113.33333333334</v>
      </c>
      <c r="G54" s="78">
        <f>IF(AND(ISNUMBER(E54),ISNUMBER(F54)),E54-F54,"─")</f>
        <v>0</v>
      </c>
      <c r="H54" s="79" t="str">
        <f>IF(ISNUMBER(G54),IF(ABS(G54)&lt;='前提'!$E$178,"一致","不一致"),IF(E54=F54,"一致","不一致"))</f>
        <v>一致</v>
      </c>
      <c r="I54" s="73" t="inlineStr">
        <is>
          <t>損益と現金 H16</t>
        </is>
      </c>
    </row>
    <row r="55">
      <c r="A55" s="33" t="inlineStr">
        <is>
          <t>粗利</t>
        </is>
      </c>
      <c r="B55" s="56" t="inlineStr">
        <is>
          <t>粗利</t>
        </is>
      </c>
      <c r="C55" s="83" t="n">
        <v>7</v>
      </c>
      <c r="D55" s="33" t="inlineStr">
        <is>
          <t>万円</t>
        </is>
      </c>
      <c r="E55" s="34">
        <f>'損益と現金'!$I$16</f>
        <v>27880.6666666667</v>
      </c>
      <c r="F55" s="77" t="n">
        <v>27880.66666666666</v>
      </c>
      <c r="G55" s="78">
        <f>IF(AND(ISNUMBER(E55),ISNUMBER(F55)),E55-F55,"─")</f>
        <v>0</v>
      </c>
      <c r="H55" s="79" t="str">
        <f>IF(ISNUMBER(G55),IF(ABS(G55)&lt;='前提'!$E$178,"一致","不一致"),IF(E55=F55,"一致","不一致"))</f>
        <v>一致</v>
      </c>
      <c r="I55" s="73" t="inlineStr">
        <is>
          <t>損益と現金 I16</t>
        </is>
      </c>
    </row>
    <row r="56">
      <c r="A56" s="33" t="inlineStr">
        <is>
          <t>粗利</t>
        </is>
      </c>
      <c r="B56" s="56" t="inlineStr">
        <is>
          <t>粗利</t>
        </is>
      </c>
      <c r="C56" s="83" t="n">
        <v>8</v>
      </c>
      <c r="D56" s="33" t="inlineStr">
        <is>
          <t>万円</t>
        </is>
      </c>
      <c r="E56" s="34">
        <f>'損益と現金'!$J$16</f>
        <v>33432</v>
      </c>
      <c r="F56" s="77" t="n">
        <v>33432</v>
      </c>
      <c r="G56" s="78">
        <f>IF(AND(ISNUMBER(E56),ISNUMBER(F56)),E56-F56,"─")</f>
        <v>0</v>
      </c>
      <c r="H56" s="79" t="str">
        <f>IF(ISNUMBER(G56),IF(ABS(G56)&lt;='前提'!$E$178,"一致","不一致"),IF(E56=F56,"一致","不一致"))</f>
        <v>一致</v>
      </c>
      <c r="I56" s="73" t="inlineStr">
        <is>
          <t>損益と現金 J16</t>
        </is>
      </c>
    </row>
    <row r="57">
      <c r="A57" s="33" t="inlineStr">
        <is>
          <t>粗利</t>
        </is>
      </c>
      <c r="B57" s="56" t="inlineStr">
        <is>
          <t>粗利</t>
        </is>
      </c>
      <c r="C57" s="83" t="n">
        <v>9</v>
      </c>
      <c r="D57" s="33" t="inlineStr">
        <is>
          <t>万円</t>
        </is>
      </c>
      <c r="E57" s="34">
        <f>'損益と現金'!$K$16</f>
        <v>38649.3333333333</v>
      </c>
      <c r="F57" s="77" t="n">
        <v>38649.33333333333</v>
      </c>
      <c r="G57" s="78">
        <f>IF(AND(ISNUMBER(E57),ISNUMBER(F57)),E57-F57,"─")</f>
        <v>0</v>
      </c>
      <c r="H57" s="79" t="str">
        <f>IF(ISNUMBER(G57),IF(ABS(G57)&lt;='前提'!$E$178,"一致","不一致"),IF(E57=F57,"一致","不一致"))</f>
        <v>一致</v>
      </c>
      <c r="I57" s="73" t="inlineStr">
        <is>
          <t>損益と現金 K16</t>
        </is>
      </c>
    </row>
    <row r="58">
      <c r="A58" s="33" t="inlineStr">
        <is>
          <t>粗利</t>
        </is>
      </c>
      <c r="B58" s="56" t="inlineStr">
        <is>
          <t>粗利</t>
        </is>
      </c>
      <c r="C58" s="83" t="n">
        <v>10</v>
      </c>
      <c r="D58" s="33" t="inlineStr">
        <is>
          <t>万円</t>
        </is>
      </c>
      <c r="E58" s="34">
        <f>'損益と現金'!$L$16</f>
        <v>43218.6666666667</v>
      </c>
      <c r="F58" s="77" t="n">
        <v>43218.66666666667</v>
      </c>
      <c r="G58" s="78">
        <f>IF(AND(ISNUMBER(E58),ISNUMBER(F58)),E58-F58,"─")</f>
        <v>0</v>
      </c>
      <c r="H58" s="79" t="str">
        <f>IF(ISNUMBER(G58),IF(ABS(G58)&lt;='前提'!$E$178,"一致","不一致"),IF(E58=F58,"一致","不一致"))</f>
        <v>一致</v>
      </c>
      <c r="I58" s="73" t="inlineStr">
        <is>
          <t>損益と現金 L16</t>
        </is>
      </c>
    </row>
    <row r="59">
      <c r="A59" s="33" t="inlineStr">
        <is>
          <t>販管費</t>
        </is>
      </c>
      <c r="B59" s="56" t="inlineStr">
        <is>
          <t>販管費</t>
        </is>
      </c>
      <c r="C59" s="83" t="n">
        <v>1</v>
      </c>
      <c r="D59" s="33" t="inlineStr">
        <is>
          <t>万円</t>
        </is>
      </c>
      <c r="E59" s="34">
        <f>'損益と現金'!$C$25</f>
        <v>5157.5</v>
      </c>
      <c r="F59" s="77" t="n">
        <v>5157.5</v>
      </c>
      <c r="G59" s="78">
        <f>IF(AND(ISNUMBER(E59),ISNUMBER(F59)),E59-F59,"─")</f>
        <v>0</v>
      </c>
      <c r="H59" s="79" t="str">
        <f>IF(ISNUMBER(G59),IF(ABS(G59)&lt;='前提'!$E$178,"一致","不一致"),IF(E59=F59,"一致","不一致"))</f>
        <v>一致</v>
      </c>
      <c r="I59" s="73" t="inlineStr">
        <is>
          <t>損益と現金 C25</t>
        </is>
      </c>
    </row>
    <row r="60">
      <c r="A60" s="33" t="inlineStr">
        <is>
          <t>販管費</t>
        </is>
      </c>
      <c r="B60" s="56" t="inlineStr">
        <is>
          <t>販管費</t>
        </is>
      </c>
      <c r="C60" s="83" t="n">
        <v>2</v>
      </c>
      <c r="D60" s="33" t="inlineStr">
        <is>
          <t>万円</t>
        </is>
      </c>
      <c r="E60" s="34">
        <f>'損益と現金'!$D$25</f>
        <v>7163.5</v>
      </c>
      <c r="F60" s="77" t="n">
        <v>7163.5</v>
      </c>
      <c r="G60" s="78">
        <f>IF(AND(ISNUMBER(E60),ISNUMBER(F60)),E60-F60,"─")</f>
        <v>0</v>
      </c>
      <c r="H60" s="79" t="str">
        <f>IF(ISNUMBER(G60),IF(ABS(G60)&lt;='前提'!$E$178,"一致","不一致"),IF(E60=F60,"一致","不一致"))</f>
        <v>一致</v>
      </c>
      <c r="I60" s="73" t="inlineStr">
        <is>
          <t>損益と現金 D25</t>
        </is>
      </c>
    </row>
    <row r="61">
      <c r="A61" s="33" t="inlineStr">
        <is>
          <t>販管費</t>
        </is>
      </c>
      <c r="B61" s="56" t="inlineStr">
        <is>
          <t>販管費</t>
        </is>
      </c>
      <c r="C61" s="83" t="n">
        <v>3</v>
      </c>
      <c r="D61" s="33" t="inlineStr">
        <is>
          <t>万円</t>
        </is>
      </c>
      <c r="E61" s="34">
        <f>'損益と現金'!$E$25</f>
        <v>9445.16666666667</v>
      </c>
      <c r="F61" s="77" t="n">
        <v>9445.166666666666</v>
      </c>
      <c r="G61" s="78">
        <f>IF(AND(ISNUMBER(E61),ISNUMBER(F61)),E61-F61,"─")</f>
        <v>0</v>
      </c>
      <c r="H61" s="79" t="str">
        <f>IF(ISNUMBER(G61),IF(ABS(G61)&lt;='前提'!$E$178,"一致","不一致"),IF(E61=F61,"一致","不一致"))</f>
        <v>一致</v>
      </c>
      <c r="I61" s="73" t="inlineStr">
        <is>
          <t>損益と現金 E25</t>
        </is>
      </c>
    </row>
    <row r="62">
      <c r="A62" s="33" t="inlineStr">
        <is>
          <t>販管費</t>
        </is>
      </c>
      <c r="B62" s="56" t="inlineStr">
        <is>
          <t>販管費</t>
        </is>
      </c>
      <c r="C62" s="83" t="n">
        <v>4</v>
      </c>
      <c r="D62" s="33" t="inlineStr">
        <is>
          <t>万円</t>
        </is>
      </c>
      <c r="E62" s="34">
        <f>'損益と現金'!$F$25</f>
        <v>14165.3333333333</v>
      </c>
      <c r="F62" s="77" t="n">
        <v>14165.33333333333</v>
      </c>
      <c r="G62" s="78">
        <f>IF(AND(ISNUMBER(E62),ISNUMBER(F62)),E62-F62,"─")</f>
        <v>0</v>
      </c>
      <c r="H62" s="79" t="str">
        <f>IF(ISNUMBER(G62),IF(ABS(G62)&lt;='前提'!$E$178,"一致","不一致"),IF(E62=F62,"一致","不一致"))</f>
        <v>一致</v>
      </c>
      <c r="I62" s="73" t="inlineStr">
        <is>
          <t>損益と現金 F25</t>
        </is>
      </c>
    </row>
    <row r="63">
      <c r="A63" s="33" t="inlineStr">
        <is>
          <t>販管費</t>
        </is>
      </c>
      <c r="B63" s="56" t="inlineStr">
        <is>
          <t>販管費</t>
        </is>
      </c>
      <c r="C63" s="83" t="n">
        <v>5</v>
      </c>
      <c r="D63" s="33" t="inlineStr">
        <is>
          <t>万円</t>
        </is>
      </c>
      <c r="E63" s="34">
        <f>'損益と現金'!$G$25</f>
        <v>17312.6666666667</v>
      </c>
      <c r="F63" s="77" t="n">
        <v>17312.66666666667</v>
      </c>
      <c r="G63" s="78">
        <f>IF(AND(ISNUMBER(E63),ISNUMBER(F63)),E63-F63,"─")</f>
        <v>0</v>
      </c>
      <c r="H63" s="79" t="str">
        <f>IF(ISNUMBER(G63),IF(ABS(G63)&lt;='前提'!$E$178,"一致","不一致"),IF(E63=F63,"一致","不一致"))</f>
        <v>一致</v>
      </c>
      <c r="I63" s="73" t="inlineStr">
        <is>
          <t>損益と現金 G25</t>
        </is>
      </c>
    </row>
    <row r="64">
      <c r="A64" s="33" t="inlineStr">
        <is>
          <t>販管費</t>
        </is>
      </c>
      <c r="B64" s="56" t="inlineStr">
        <is>
          <t>販管費</t>
        </is>
      </c>
      <c r="C64" s="83" t="n">
        <v>6</v>
      </c>
      <c r="D64" s="33" t="inlineStr">
        <is>
          <t>万円</t>
        </is>
      </c>
      <c r="E64" s="34">
        <f>'損益と現金'!$H$25</f>
        <v>17591.3333333333</v>
      </c>
      <c r="F64" s="77" t="n">
        <v>17591.33333333333</v>
      </c>
      <c r="G64" s="78">
        <f>IF(AND(ISNUMBER(E64),ISNUMBER(F64)),E64-F64,"─")</f>
        <v>0</v>
      </c>
      <c r="H64" s="79" t="str">
        <f>IF(ISNUMBER(G64),IF(ABS(G64)&lt;='前提'!$E$178,"一致","不一致"),IF(E64=F64,"一致","不一致"))</f>
        <v>一致</v>
      </c>
      <c r="I64" s="73" t="inlineStr">
        <is>
          <t>損益と現金 H25</t>
        </is>
      </c>
    </row>
    <row r="65">
      <c r="A65" s="33" t="inlineStr">
        <is>
          <t>販管費</t>
        </is>
      </c>
      <c r="B65" s="56" t="inlineStr">
        <is>
          <t>販管費</t>
        </is>
      </c>
      <c r="C65" s="83" t="n">
        <v>7</v>
      </c>
      <c r="D65" s="33" t="inlineStr">
        <is>
          <t>万円</t>
        </is>
      </c>
      <c r="E65" s="34">
        <f>'損益と現金'!$I$25</f>
        <v>19997.6666666667</v>
      </c>
      <c r="F65" s="77" t="n">
        <v>19997.66666666667</v>
      </c>
      <c r="G65" s="78">
        <f>IF(AND(ISNUMBER(E65),ISNUMBER(F65)),E65-F65,"─")</f>
        <v>0</v>
      </c>
      <c r="H65" s="79" t="str">
        <f>IF(ISNUMBER(G65),IF(ABS(G65)&lt;='前提'!$E$178,"一致","不一致"),IF(E65=F65,"一致","不一致"))</f>
        <v>一致</v>
      </c>
      <c r="I65" s="73" t="inlineStr">
        <is>
          <t>損益と現金 I25</t>
        </is>
      </c>
    </row>
    <row r="66">
      <c r="A66" s="33" t="inlineStr">
        <is>
          <t>販管費</t>
        </is>
      </c>
      <c r="B66" s="56" t="inlineStr">
        <is>
          <t>販管費</t>
        </is>
      </c>
      <c r="C66" s="83" t="n">
        <v>8</v>
      </c>
      <c r="D66" s="33" t="inlineStr">
        <is>
          <t>万円</t>
        </is>
      </c>
      <c r="E66" s="34">
        <f>'損益と現金'!$J$25</f>
        <v>21426.5</v>
      </c>
      <c r="F66" s="77" t="n">
        <v>21426.5</v>
      </c>
      <c r="G66" s="78">
        <f>IF(AND(ISNUMBER(E66),ISNUMBER(F66)),E66-F66,"─")</f>
        <v>0</v>
      </c>
      <c r="H66" s="79" t="str">
        <f>IF(ISNUMBER(G66),IF(ABS(G66)&lt;='前提'!$E$178,"一致","不一致"),IF(E66=F66,"一致","不一致"))</f>
        <v>一致</v>
      </c>
      <c r="I66" s="73" t="inlineStr">
        <is>
          <t>損益と現金 J25</t>
        </is>
      </c>
    </row>
    <row r="67">
      <c r="A67" s="33" t="inlineStr">
        <is>
          <t>販管費</t>
        </is>
      </c>
      <c r="B67" s="56" t="inlineStr">
        <is>
          <t>販管費</t>
        </is>
      </c>
      <c r="C67" s="83" t="n">
        <v>9</v>
      </c>
      <c r="D67" s="33" t="inlineStr">
        <is>
          <t>万円</t>
        </is>
      </c>
      <c r="E67" s="34">
        <f>'損益と現金'!$K$25</f>
        <v>22342.3333333333</v>
      </c>
      <c r="F67" s="77" t="n">
        <v>22342.33333333333</v>
      </c>
      <c r="G67" s="78">
        <f>IF(AND(ISNUMBER(E67),ISNUMBER(F67)),E67-F67,"─")</f>
        <v>0</v>
      </c>
      <c r="H67" s="79" t="str">
        <f>IF(ISNUMBER(G67),IF(ABS(G67)&lt;='前提'!$E$178,"一致","不一致"),IF(E67=F67,"一致","不一致"))</f>
        <v>一致</v>
      </c>
      <c r="I67" s="73" t="inlineStr">
        <is>
          <t>損益と現金 K25</t>
        </is>
      </c>
    </row>
    <row r="68">
      <c r="A68" s="33" t="inlineStr">
        <is>
          <t>販管費</t>
        </is>
      </c>
      <c r="B68" s="56" t="inlineStr">
        <is>
          <t>販管費</t>
        </is>
      </c>
      <c r="C68" s="83" t="n">
        <v>10</v>
      </c>
      <c r="D68" s="33" t="inlineStr">
        <is>
          <t>万円</t>
        </is>
      </c>
      <c r="E68" s="34">
        <f>'損益と現金'!$L$25</f>
        <v>24238.1666666667</v>
      </c>
      <c r="F68" s="77" t="n">
        <v>24238.16666666666</v>
      </c>
      <c r="G68" s="78">
        <f>IF(AND(ISNUMBER(E68),ISNUMBER(F68)),E68-F68,"─")</f>
        <v>0</v>
      </c>
      <c r="H68" s="79" t="str">
        <f>IF(ISNUMBER(G68),IF(ABS(G68)&lt;='前提'!$E$178,"一致","不一致"),IF(E68=F68,"一致","不一致"))</f>
        <v>一致</v>
      </c>
      <c r="I68" s="73" t="inlineStr">
        <is>
          <t>損益と現金 L25</t>
        </is>
      </c>
    </row>
    <row r="69">
      <c r="A69" s="33" t="inlineStr">
        <is>
          <t>営業利益</t>
        </is>
      </c>
      <c r="B69" s="56" t="inlineStr">
        <is>
          <t>営業利益</t>
        </is>
      </c>
      <c r="C69" s="83" t="n">
        <v>1</v>
      </c>
      <c r="D69" s="33" t="inlineStr">
        <is>
          <t>万円</t>
        </is>
      </c>
      <c r="E69" s="34">
        <f>'損益と現金'!$C$27</f>
        <v>-4843.5</v>
      </c>
      <c r="F69" s="77" t="n">
        <v>-4843.5</v>
      </c>
      <c r="G69" s="78">
        <f>IF(AND(ISNUMBER(E69),ISNUMBER(F69)),E69-F69,"─")</f>
        <v>0</v>
      </c>
      <c r="H69" s="79" t="str">
        <f>IF(ISNUMBER(G69),IF(ABS(G69)&lt;='前提'!$E$178,"一致","不一致"),IF(E69=F69,"一致","不一致"))</f>
        <v>一致</v>
      </c>
      <c r="I69" s="73" t="inlineStr">
        <is>
          <t>損益と現金 C27</t>
        </is>
      </c>
    </row>
    <row r="70">
      <c r="A70" s="33" t="inlineStr">
        <is>
          <t>営業利益</t>
        </is>
      </c>
      <c r="B70" s="56" t="inlineStr">
        <is>
          <t>営業利益</t>
        </is>
      </c>
      <c r="C70" s="83" t="n">
        <v>2</v>
      </c>
      <c r="D70" s="33" t="inlineStr">
        <is>
          <t>万円</t>
        </is>
      </c>
      <c r="E70" s="34">
        <f>'損益と現金'!$D$27</f>
        <v>-4762.5</v>
      </c>
      <c r="F70" s="77" t="n">
        <v>-4762.5</v>
      </c>
      <c r="G70" s="78">
        <f>IF(AND(ISNUMBER(E70),ISNUMBER(F70)),E70-F70,"─")</f>
        <v>0</v>
      </c>
      <c r="H70" s="79" t="str">
        <f>IF(ISNUMBER(G70),IF(ABS(G70)&lt;='前提'!$E$178,"一致","不一致"),IF(E70=F70,"一致","不一致"))</f>
        <v>一致</v>
      </c>
      <c r="I70" s="73" t="inlineStr">
        <is>
          <t>損益と現金 D27</t>
        </is>
      </c>
    </row>
    <row r="71">
      <c r="A71" s="33" t="inlineStr">
        <is>
          <t>営業利益</t>
        </is>
      </c>
      <c r="B71" s="56" t="inlineStr">
        <is>
          <t>営業利益</t>
        </is>
      </c>
      <c r="C71" s="83" t="n">
        <v>3</v>
      </c>
      <c r="D71" s="33" t="inlineStr">
        <is>
          <t>万円</t>
        </is>
      </c>
      <c r="E71" s="34">
        <f>'損益と現金'!$E$27</f>
        <v>-3696.5</v>
      </c>
      <c r="F71" s="77" t="n">
        <v>-3696.499999999999</v>
      </c>
      <c r="G71" s="78">
        <f>IF(AND(ISNUMBER(E71),ISNUMBER(F71)),E71-F71,"─")</f>
        <v>0</v>
      </c>
      <c r="H71" s="79" t="str">
        <f>IF(ISNUMBER(G71),IF(ABS(G71)&lt;='前提'!$E$178,"一致","不一致"),IF(E71=F71,"一致","不一致"))</f>
        <v>一致</v>
      </c>
      <c r="I71" s="73" t="inlineStr">
        <is>
          <t>損益と現金 E27</t>
        </is>
      </c>
    </row>
    <row r="72">
      <c r="A72" s="33" t="inlineStr">
        <is>
          <t>営業利益</t>
        </is>
      </c>
      <c r="B72" s="56" t="inlineStr">
        <is>
          <t>営業利益</t>
        </is>
      </c>
      <c r="C72" s="83" t="n">
        <v>4</v>
      </c>
      <c r="D72" s="33" t="inlineStr">
        <is>
          <t>万円</t>
        </is>
      </c>
      <c r="E72" s="34">
        <f>'損益と現金'!$F$27</f>
        <v>-3857</v>
      </c>
      <c r="F72" s="77" t="n">
        <v>-3857.000000000002</v>
      </c>
      <c r="G72" s="78">
        <f>IF(AND(ISNUMBER(E72),ISNUMBER(F72)),E72-F72,"─")</f>
        <v>0</v>
      </c>
      <c r="H72" s="79" t="str">
        <f>IF(ISNUMBER(G72),IF(ABS(G72)&lt;='前提'!$E$178,"一致","不一致"),IF(E72=F72,"一致","不一致"))</f>
        <v>一致</v>
      </c>
      <c r="I72" s="73" t="inlineStr">
        <is>
          <t>損益と現金 F27</t>
        </is>
      </c>
    </row>
    <row r="73">
      <c r="A73" s="33" t="inlineStr">
        <is>
          <t>営業利益</t>
        </is>
      </c>
      <c r="B73" s="56" t="inlineStr">
        <is>
          <t>営業利益</t>
        </is>
      </c>
      <c r="C73" s="83" t="n">
        <v>5</v>
      </c>
      <c r="D73" s="33" t="inlineStr">
        <is>
          <t>万円</t>
        </is>
      </c>
      <c r="E73" s="34">
        <f>'損益と現金'!$G$27</f>
        <v>-1117</v>
      </c>
      <c r="F73" s="77" t="n">
        <v>-1117.000000000002</v>
      </c>
      <c r="G73" s="78">
        <f>IF(AND(ISNUMBER(E73),ISNUMBER(F73)),E73-F73,"─")</f>
        <v>0</v>
      </c>
      <c r="H73" s="79" t="str">
        <f>IF(ISNUMBER(G73),IF(ABS(G73)&lt;='前提'!$E$178,"一致","不一致"),IF(E73=F73,"一致","不一致"))</f>
        <v>一致</v>
      </c>
      <c r="I73" s="73" t="inlineStr">
        <is>
          <t>損益と現金 G27</t>
        </is>
      </c>
    </row>
    <row r="74">
      <c r="A74" s="33" t="inlineStr">
        <is>
          <t>営業利益</t>
        </is>
      </c>
      <c r="B74" s="56" t="inlineStr">
        <is>
          <t>営業利益</t>
        </is>
      </c>
      <c r="C74" s="83" t="n">
        <v>6</v>
      </c>
      <c r="D74" s="33" t="inlineStr">
        <is>
          <t>万円</t>
        </is>
      </c>
      <c r="E74" s="34">
        <f>'損益と現金'!$H$27</f>
        <v>4522</v>
      </c>
      <c r="F74" s="77" t="n">
        <v>4522.000000000004</v>
      </c>
      <c r="G74" s="78">
        <f>IF(AND(ISNUMBER(E74),ISNUMBER(F74)),E74-F74,"─")</f>
        <v>0</v>
      </c>
      <c r="H74" s="79" t="str">
        <f>IF(ISNUMBER(G74),IF(ABS(G74)&lt;='前提'!$E$178,"一致","不一致"),IF(E74=F74,"一致","不一致"))</f>
        <v>一致</v>
      </c>
      <c r="I74" s="73" t="inlineStr">
        <is>
          <t>損益と現金 H27</t>
        </is>
      </c>
    </row>
    <row r="75">
      <c r="A75" s="33" t="inlineStr">
        <is>
          <t>営業利益</t>
        </is>
      </c>
      <c r="B75" s="56" t="inlineStr">
        <is>
          <t>営業利益</t>
        </is>
      </c>
      <c r="C75" s="83" t="n">
        <v>7</v>
      </c>
      <c r="D75" s="33" t="inlineStr">
        <is>
          <t>万円</t>
        </is>
      </c>
      <c r="E75" s="34">
        <f>'損益と現金'!$I$27</f>
        <v>7883</v>
      </c>
      <c r="F75" s="77" t="n">
        <v>7882.999999999996</v>
      </c>
      <c r="G75" s="78">
        <f>IF(AND(ISNUMBER(E75),ISNUMBER(F75)),E75-F75,"─")</f>
        <v>0</v>
      </c>
      <c r="H75" s="79" t="str">
        <f>IF(ISNUMBER(G75),IF(ABS(G75)&lt;='前提'!$E$178,"一致","不一致"),IF(E75=F75,"一致","不一致"))</f>
        <v>一致</v>
      </c>
      <c r="I75" s="73" t="inlineStr">
        <is>
          <t>損益と現金 I27</t>
        </is>
      </c>
    </row>
    <row r="76">
      <c r="A76" s="33" t="inlineStr">
        <is>
          <t>営業利益</t>
        </is>
      </c>
      <c r="B76" s="56" t="inlineStr">
        <is>
          <t>営業利益</t>
        </is>
      </c>
      <c r="C76" s="83" t="n">
        <v>8</v>
      </c>
      <c r="D76" s="33" t="inlineStr">
        <is>
          <t>万円</t>
        </is>
      </c>
      <c r="E76" s="34">
        <f>'損益と現金'!$J$27</f>
        <v>12005.5</v>
      </c>
      <c r="F76" s="77" t="n">
        <v>12005.5</v>
      </c>
      <c r="G76" s="78">
        <f>IF(AND(ISNUMBER(E76),ISNUMBER(F76)),E76-F76,"─")</f>
        <v>0</v>
      </c>
      <c r="H76" s="79" t="str">
        <f>IF(ISNUMBER(G76),IF(ABS(G76)&lt;='前提'!$E$178,"一致","不一致"),IF(E76=F76,"一致","不一致"))</f>
        <v>一致</v>
      </c>
      <c r="I76" s="73" t="inlineStr">
        <is>
          <t>損益と現金 J27</t>
        </is>
      </c>
    </row>
    <row r="77">
      <c r="A77" s="33" t="inlineStr">
        <is>
          <t>営業利益</t>
        </is>
      </c>
      <c r="B77" s="56" t="inlineStr">
        <is>
          <t>営業利益</t>
        </is>
      </c>
      <c r="C77" s="83" t="n">
        <v>9</v>
      </c>
      <c r="D77" s="33" t="inlineStr">
        <is>
          <t>万円</t>
        </is>
      </c>
      <c r="E77" s="34">
        <f>'損益と現金'!$K$27</f>
        <v>16307</v>
      </c>
      <c r="F77" s="77" t="n">
        <v>16307</v>
      </c>
      <c r="G77" s="78">
        <f>IF(AND(ISNUMBER(E77),ISNUMBER(F77)),E77-F77,"─")</f>
        <v>0</v>
      </c>
      <c r="H77" s="79" t="str">
        <f>IF(ISNUMBER(G77),IF(ABS(G77)&lt;='前提'!$E$178,"一致","不一致"),IF(E77=F77,"一致","不一致"))</f>
        <v>一致</v>
      </c>
      <c r="I77" s="73" t="inlineStr">
        <is>
          <t>損益と現金 K27</t>
        </is>
      </c>
    </row>
    <row r="78">
      <c r="A78" s="33" t="inlineStr">
        <is>
          <t>営業利益</t>
        </is>
      </c>
      <c r="B78" s="56" t="inlineStr">
        <is>
          <t>営業利益</t>
        </is>
      </c>
      <c r="C78" s="83" t="n">
        <v>10</v>
      </c>
      <c r="D78" s="33" t="inlineStr">
        <is>
          <t>万円</t>
        </is>
      </c>
      <c r="E78" s="34">
        <f>'損益と現金'!$L$27</f>
        <v>18980.5</v>
      </c>
      <c r="F78" s="77" t="n">
        <v>18980.50000000001</v>
      </c>
      <c r="G78" s="78">
        <f>IF(AND(ISNUMBER(E78),ISNUMBER(F78)),E78-F78,"─")</f>
        <v>0</v>
      </c>
      <c r="H78" s="79" t="str">
        <f>IF(ISNUMBER(G78),IF(ABS(G78)&lt;='前提'!$E$178,"一致","不一致"),IF(E78=F78,"一致","不一致"))</f>
        <v>一致</v>
      </c>
      <c r="I78" s="73" t="inlineStr">
        <is>
          <t>損益と現金 L27</t>
        </is>
      </c>
    </row>
    <row r="79">
      <c r="A79" s="33" t="inlineStr">
        <is>
          <t>累計</t>
        </is>
      </c>
      <c r="B79" s="56" t="inlineStr">
        <is>
          <t>累計の営業損益</t>
        </is>
      </c>
      <c r="C79" s="83" t="n">
        <v>1</v>
      </c>
      <c r="D79" s="33" t="inlineStr">
        <is>
          <t>万円</t>
        </is>
      </c>
      <c r="E79" s="34">
        <f>'損益と現金'!$C$28</f>
        <v>-4843.5</v>
      </c>
      <c r="F79" s="77" t="n">
        <v>-4843.5</v>
      </c>
      <c r="G79" s="78">
        <f>IF(AND(ISNUMBER(E79),ISNUMBER(F79)),E79-F79,"─")</f>
        <v>0</v>
      </c>
      <c r="H79" s="79" t="str">
        <f>IF(ISNUMBER(G79),IF(ABS(G79)&lt;='前提'!$E$178,"一致","不一致"),IF(E79=F79,"一致","不一致"))</f>
        <v>一致</v>
      </c>
      <c r="I79" s="73" t="inlineStr">
        <is>
          <t>損益と現金 C28</t>
        </is>
      </c>
    </row>
    <row r="80">
      <c r="A80" s="33" t="inlineStr">
        <is>
          <t>累計</t>
        </is>
      </c>
      <c r="B80" s="56" t="inlineStr">
        <is>
          <t>累計の営業損益</t>
        </is>
      </c>
      <c r="C80" s="83" t="n">
        <v>2</v>
      </c>
      <c r="D80" s="33" t="inlineStr">
        <is>
          <t>万円</t>
        </is>
      </c>
      <c r="E80" s="34">
        <f>'損益と現金'!$D$28</f>
        <v>-9606</v>
      </c>
      <c r="F80" s="77" t="n">
        <v>-9606</v>
      </c>
      <c r="G80" s="78">
        <f>IF(AND(ISNUMBER(E80),ISNUMBER(F80)),E80-F80,"─")</f>
        <v>0</v>
      </c>
      <c r="H80" s="79" t="str">
        <f>IF(ISNUMBER(G80),IF(ABS(G80)&lt;='前提'!$E$178,"一致","不一致"),IF(E80=F80,"一致","不一致"))</f>
        <v>一致</v>
      </c>
      <c r="I80" s="73" t="inlineStr">
        <is>
          <t>損益と現金 D28</t>
        </is>
      </c>
    </row>
    <row r="81">
      <c r="A81" s="33" t="inlineStr">
        <is>
          <t>累計</t>
        </is>
      </c>
      <c r="B81" s="56" t="inlineStr">
        <is>
          <t>累計の営業損益</t>
        </is>
      </c>
      <c r="C81" s="83" t="n">
        <v>3</v>
      </c>
      <c r="D81" s="33" t="inlineStr">
        <is>
          <t>万円</t>
        </is>
      </c>
      <c r="E81" s="34">
        <f>'損益と現金'!$E$28</f>
        <v>-13302.5</v>
      </c>
      <c r="F81" s="77" t="n">
        <v>-13302.5</v>
      </c>
      <c r="G81" s="78">
        <f>IF(AND(ISNUMBER(E81),ISNUMBER(F81)),E81-F81,"─")</f>
        <v>0</v>
      </c>
      <c r="H81" s="79" t="str">
        <f>IF(ISNUMBER(G81),IF(ABS(G81)&lt;='前提'!$E$178,"一致","不一致"),IF(E81=F81,"一致","不一致"))</f>
        <v>一致</v>
      </c>
      <c r="I81" s="73" t="inlineStr">
        <is>
          <t>損益と現金 E28</t>
        </is>
      </c>
    </row>
    <row r="82">
      <c r="A82" s="33" t="inlineStr">
        <is>
          <t>累計</t>
        </is>
      </c>
      <c r="B82" s="56" t="inlineStr">
        <is>
          <t>累計の営業損益</t>
        </is>
      </c>
      <c r="C82" s="83" t="n">
        <v>4</v>
      </c>
      <c r="D82" s="33" t="inlineStr">
        <is>
          <t>万円</t>
        </is>
      </c>
      <c r="E82" s="34">
        <f>'損益と現金'!$F$28</f>
        <v>-17159.5</v>
      </c>
      <c r="F82" s="77" t="n">
        <v>-17159.5</v>
      </c>
      <c r="G82" s="78">
        <f>IF(AND(ISNUMBER(E82),ISNUMBER(F82)),E82-F82,"─")</f>
        <v>0</v>
      </c>
      <c r="H82" s="79" t="str">
        <f>IF(ISNUMBER(G82),IF(ABS(G82)&lt;='前提'!$E$178,"一致","不一致"),IF(E82=F82,"一致","不一致"))</f>
        <v>一致</v>
      </c>
      <c r="I82" s="73" t="inlineStr">
        <is>
          <t>損益と現金 F28</t>
        </is>
      </c>
    </row>
    <row r="83">
      <c r="A83" s="33" t="inlineStr">
        <is>
          <t>累計</t>
        </is>
      </c>
      <c r="B83" s="56" t="inlineStr">
        <is>
          <t>累計の営業損益</t>
        </is>
      </c>
      <c r="C83" s="83" t="n">
        <v>5</v>
      </c>
      <c r="D83" s="33" t="inlineStr">
        <is>
          <t>万円</t>
        </is>
      </c>
      <c r="E83" s="34">
        <f>'損益と現金'!$G$28</f>
        <v>-18276.5</v>
      </c>
      <c r="F83" s="77" t="n">
        <v>-18276.5</v>
      </c>
      <c r="G83" s="78">
        <f>IF(AND(ISNUMBER(E83),ISNUMBER(F83)),E83-F83,"─")</f>
        <v>0</v>
      </c>
      <c r="H83" s="79" t="str">
        <f>IF(ISNUMBER(G83),IF(ABS(G83)&lt;='前提'!$E$178,"一致","不一致"),IF(E83=F83,"一致","不一致"))</f>
        <v>一致</v>
      </c>
      <c r="I83" s="73" t="inlineStr">
        <is>
          <t>損益と現金 G28</t>
        </is>
      </c>
    </row>
    <row r="84">
      <c r="A84" s="33" t="inlineStr">
        <is>
          <t>累計</t>
        </is>
      </c>
      <c r="B84" s="56" t="inlineStr">
        <is>
          <t>累計の営業損益</t>
        </is>
      </c>
      <c r="C84" s="83" t="n">
        <v>6</v>
      </c>
      <c r="D84" s="33" t="inlineStr">
        <is>
          <t>万円</t>
        </is>
      </c>
      <c r="E84" s="34">
        <f>'損益と現金'!$H$28</f>
        <v>-13754.5</v>
      </c>
      <c r="F84" s="77" t="n">
        <v>-13754.5</v>
      </c>
      <c r="G84" s="78">
        <f>IF(AND(ISNUMBER(E84),ISNUMBER(F84)),E84-F84,"─")</f>
        <v>0</v>
      </c>
      <c r="H84" s="79" t="str">
        <f>IF(ISNUMBER(G84),IF(ABS(G84)&lt;='前提'!$E$178,"一致","不一致"),IF(E84=F84,"一致","不一致"))</f>
        <v>一致</v>
      </c>
      <c r="I84" s="73" t="inlineStr">
        <is>
          <t>損益と現金 H28</t>
        </is>
      </c>
    </row>
    <row r="85">
      <c r="A85" s="33" t="inlineStr">
        <is>
          <t>累計</t>
        </is>
      </c>
      <c r="B85" s="56" t="inlineStr">
        <is>
          <t>累計の営業損益</t>
        </is>
      </c>
      <c r="C85" s="83" t="n">
        <v>7</v>
      </c>
      <c r="D85" s="33" t="inlineStr">
        <is>
          <t>万円</t>
        </is>
      </c>
      <c r="E85" s="34">
        <f>'損益と現金'!$I$28</f>
        <v>-5871.5</v>
      </c>
      <c r="F85" s="77" t="n">
        <v>-5871.5</v>
      </c>
      <c r="G85" s="78">
        <f>IF(AND(ISNUMBER(E85),ISNUMBER(F85)),E85-F85,"─")</f>
        <v>0</v>
      </c>
      <c r="H85" s="79" t="str">
        <f>IF(ISNUMBER(G85),IF(ABS(G85)&lt;='前提'!$E$178,"一致","不一致"),IF(E85=F85,"一致","不一致"))</f>
        <v>一致</v>
      </c>
      <c r="I85" s="73" t="inlineStr">
        <is>
          <t>損益と現金 I28</t>
        </is>
      </c>
    </row>
    <row r="86">
      <c r="A86" s="33" t="inlineStr">
        <is>
          <t>累計</t>
        </is>
      </c>
      <c r="B86" s="56" t="inlineStr">
        <is>
          <t>累計の営業損益</t>
        </is>
      </c>
      <c r="C86" s="83" t="n">
        <v>8</v>
      </c>
      <c r="D86" s="33" t="inlineStr">
        <is>
          <t>万円</t>
        </is>
      </c>
      <c r="E86" s="34">
        <f>'損益と現金'!$J$28</f>
        <v>6134</v>
      </c>
      <c r="F86" s="77" t="n">
        <v>6134</v>
      </c>
      <c r="G86" s="78">
        <f>IF(AND(ISNUMBER(E86),ISNUMBER(F86)),E86-F86,"─")</f>
        <v>0</v>
      </c>
      <c r="H86" s="79" t="str">
        <f>IF(ISNUMBER(G86),IF(ABS(G86)&lt;='前提'!$E$178,"一致","不一致"),IF(E86=F86,"一致","不一致"))</f>
        <v>一致</v>
      </c>
      <c r="I86" s="73" t="inlineStr">
        <is>
          <t>損益と現金 J28</t>
        </is>
      </c>
    </row>
    <row r="87">
      <c r="A87" s="33" t="inlineStr">
        <is>
          <t>累計</t>
        </is>
      </c>
      <c r="B87" s="56" t="inlineStr">
        <is>
          <t>累計の営業損益</t>
        </is>
      </c>
      <c r="C87" s="83" t="n">
        <v>9</v>
      </c>
      <c r="D87" s="33" t="inlineStr">
        <is>
          <t>万円</t>
        </is>
      </c>
      <c r="E87" s="34">
        <f>'損益と現金'!$K$28</f>
        <v>22441</v>
      </c>
      <c r="F87" s="77" t="n">
        <v>22441</v>
      </c>
      <c r="G87" s="78">
        <f>IF(AND(ISNUMBER(E87),ISNUMBER(F87)),E87-F87,"─")</f>
        <v>0</v>
      </c>
      <c r="H87" s="79" t="str">
        <f>IF(ISNUMBER(G87),IF(ABS(G87)&lt;='前提'!$E$178,"一致","不一致"),IF(E87=F87,"一致","不一致"))</f>
        <v>一致</v>
      </c>
      <c r="I87" s="73" t="inlineStr">
        <is>
          <t>損益と現金 K28</t>
        </is>
      </c>
    </row>
    <row r="88">
      <c r="A88" s="33" t="inlineStr">
        <is>
          <t>累計</t>
        </is>
      </c>
      <c r="B88" s="56" t="inlineStr">
        <is>
          <t>累計の営業損益</t>
        </is>
      </c>
      <c r="C88" s="83" t="n">
        <v>10</v>
      </c>
      <c r="D88" s="33" t="inlineStr">
        <is>
          <t>万円</t>
        </is>
      </c>
      <c r="E88" s="34">
        <f>'損益と現金'!$L$28</f>
        <v>41421.5</v>
      </c>
      <c r="F88" s="77" t="n">
        <v>41421.5</v>
      </c>
      <c r="G88" s="78">
        <f>IF(AND(ISNUMBER(E88),ISNUMBER(F88)),E88-F88,"─")</f>
        <v>0</v>
      </c>
      <c r="H88" s="79" t="str">
        <f>IF(ISNUMBER(G88),IF(ABS(G88)&lt;='前提'!$E$178,"一致","不一致"),IF(E88=F88,"一致","不一致"))</f>
        <v>一致</v>
      </c>
      <c r="I88" s="73" t="inlineStr">
        <is>
          <t>損益と現金 L28</t>
        </is>
      </c>
    </row>
    <row r="89">
      <c r="A89" s="33" t="inlineStr">
        <is>
          <t>現金</t>
        </is>
      </c>
      <c r="B89" s="56" t="inlineStr">
        <is>
          <t>期末の現金</t>
        </is>
      </c>
      <c r="C89" s="83" t="n">
        <v>1</v>
      </c>
      <c r="D89" s="33" t="inlineStr">
        <is>
          <t>万円</t>
        </is>
      </c>
      <c r="E89" s="34">
        <f>'損益と現金'!$C$30</f>
        <v>15156.5</v>
      </c>
      <c r="F89" s="77" t="n">
        <v>15156.5</v>
      </c>
      <c r="G89" s="78">
        <f>IF(AND(ISNUMBER(E89),ISNUMBER(F89)),E89-F89,"─")</f>
        <v>0</v>
      </c>
      <c r="H89" s="79" t="str">
        <f>IF(ISNUMBER(G89),IF(ABS(G89)&lt;='前提'!$E$178,"一致","不一致"),IF(E89=F89,"一致","不一致"))</f>
        <v>一致</v>
      </c>
      <c r="I89" s="73" t="inlineStr">
        <is>
          <t>損益と現金 C30</t>
        </is>
      </c>
    </row>
    <row r="90">
      <c r="A90" s="33" t="inlineStr">
        <is>
          <t>現金</t>
        </is>
      </c>
      <c r="B90" s="56" t="inlineStr">
        <is>
          <t>期末の現金</t>
        </is>
      </c>
      <c r="C90" s="83" t="n">
        <v>2</v>
      </c>
      <c r="D90" s="33" t="inlineStr">
        <is>
          <t>万円</t>
        </is>
      </c>
      <c r="E90" s="34">
        <f>'損益と現金'!$D$30</f>
        <v>10394</v>
      </c>
      <c r="F90" s="77" t="n">
        <v>10394</v>
      </c>
      <c r="G90" s="78">
        <f>IF(AND(ISNUMBER(E90),ISNUMBER(F90)),E90-F90,"─")</f>
        <v>0</v>
      </c>
      <c r="H90" s="79" t="str">
        <f>IF(ISNUMBER(G90),IF(ABS(G90)&lt;='前提'!$E$178,"一致","不一致"),IF(E90=F90,"一致","不一致"))</f>
        <v>一致</v>
      </c>
      <c r="I90" s="73" t="inlineStr">
        <is>
          <t>損益と現金 D30</t>
        </is>
      </c>
    </row>
    <row r="91">
      <c r="A91" s="33" t="inlineStr">
        <is>
          <t>現金</t>
        </is>
      </c>
      <c r="B91" s="56" t="inlineStr">
        <is>
          <t>期末の現金</t>
        </is>
      </c>
      <c r="C91" s="83" t="n">
        <v>3</v>
      </c>
      <c r="D91" s="33" t="inlineStr">
        <is>
          <t>万円</t>
        </is>
      </c>
      <c r="E91" s="34">
        <f>'損益と現金'!$E$30</f>
        <v>11697.5</v>
      </c>
      <c r="F91" s="77" t="n">
        <v>11697.5</v>
      </c>
      <c r="G91" s="78">
        <f>IF(AND(ISNUMBER(E91),ISNUMBER(F91)),E91-F91,"─")</f>
        <v>0</v>
      </c>
      <c r="H91" s="79" t="str">
        <f>IF(ISNUMBER(G91),IF(ABS(G91)&lt;='前提'!$E$178,"一致","不一致"),IF(E91=F91,"一致","不一致"))</f>
        <v>一致</v>
      </c>
      <c r="I91" s="73" t="inlineStr">
        <is>
          <t>損益と現金 E30</t>
        </is>
      </c>
    </row>
    <row r="92">
      <c r="A92" s="33" t="inlineStr">
        <is>
          <t>現金</t>
        </is>
      </c>
      <c r="B92" s="56" t="inlineStr">
        <is>
          <t>期末の現金</t>
        </is>
      </c>
      <c r="C92" s="83" t="n">
        <v>4</v>
      </c>
      <c r="D92" s="33" t="inlineStr">
        <is>
          <t>万円</t>
        </is>
      </c>
      <c r="E92" s="34">
        <f>'損益と現金'!$F$30</f>
        <v>7840.5</v>
      </c>
      <c r="F92" s="77" t="n">
        <v>7840.499999999998</v>
      </c>
      <c r="G92" s="78">
        <f>IF(AND(ISNUMBER(E92),ISNUMBER(F92)),E92-F92,"─")</f>
        <v>0</v>
      </c>
      <c r="H92" s="79" t="str">
        <f>IF(ISNUMBER(G92),IF(ABS(G92)&lt;='前提'!$E$178,"一致","不一致"),IF(E92=F92,"一致","不一致"))</f>
        <v>一致</v>
      </c>
      <c r="I92" s="73" t="inlineStr">
        <is>
          <t>損益と現金 F30</t>
        </is>
      </c>
    </row>
    <row r="93">
      <c r="A93" s="33" t="inlineStr">
        <is>
          <t>現金</t>
        </is>
      </c>
      <c r="B93" s="56" t="inlineStr">
        <is>
          <t>期末の現金</t>
        </is>
      </c>
      <c r="C93" s="83" t="n">
        <v>5</v>
      </c>
      <c r="D93" s="33" t="inlineStr">
        <is>
          <t>万円</t>
        </is>
      </c>
      <c r="E93" s="34">
        <f>'損益と現金'!$G$30</f>
        <v>6723.5</v>
      </c>
      <c r="F93" s="77" t="n">
        <v>6723.499999999996</v>
      </c>
      <c r="G93" s="78">
        <f>IF(AND(ISNUMBER(E93),ISNUMBER(F93)),E93-F93,"─")</f>
        <v>0</v>
      </c>
      <c r="H93" s="79" t="str">
        <f>IF(ISNUMBER(G93),IF(ABS(G93)&lt;='前提'!$E$178,"一致","不一致"),IF(E93=F93,"一致","不一致"))</f>
        <v>一致</v>
      </c>
      <c r="I93" s="73" t="inlineStr">
        <is>
          <t>損益と現金 G30</t>
        </is>
      </c>
    </row>
    <row r="94">
      <c r="A94" s="33" t="inlineStr">
        <is>
          <t>現金</t>
        </is>
      </c>
      <c r="B94" s="56" t="inlineStr">
        <is>
          <t>期末の現金</t>
        </is>
      </c>
      <c r="C94" s="83" t="n">
        <v>6</v>
      </c>
      <c r="D94" s="33" t="inlineStr">
        <is>
          <t>万円</t>
        </is>
      </c>
      <c r="E94" s="34">
        <f>'損益と現金'!$H$30</f>
        <v>11245.5</v>
      </c>
      <c r="F94" s="77" t="n">
        <v>11245.5</v>
      </c>
      <c r="G94" s="78">
        <f>IF(AND(ISNUMBER(E94),ISNUMBER(F94)),E94-F94,"─")</f>
        <v>0</v>
      </c>
      <c r="H94" s="79" t="str">
        <f>IF(ISNUMBER(G94),IF(ABS(G94)&lt;='前提'!$E$178,"一致","不一致"),IF(E94=F94,"一致","不一致"))</f>
        <v>一致</v>
      </c>
      <c r="I94" s="73" t="inlineStr">
        <is>
          <t>損益と現金 H30</t>
        </is>
      </c>
    </row>
    <row r="95">
      <c r="A95" s="33" t="inlineStr">
        <is>
          <t>現金</t>
        </is>
      </c>
      <c r="B95" s="56" t="inlineStr">
        <is>
          <t>期末の現金</t>
        </is>
      </c>
      <c r="C95" s="83" t="n">
        <v>7</v>
      </c>
      <c r="D95" s="33" t="inlineStr">
        <is>
          <t>万円</t>
        </is>
      </c>
      <c r="E95" s="34">
        <f>'損益と現金'!$I$30</f>
        <v>19128.5</v>
      </c>
      <c r="F95" s="77" t="n">
        <v>19128.5</v>
      </c>
      <c r="G95" s="78">
        <f>IF(AND(ISNUMBER(E95),ISNUMBER(F95)),E95-F95,"─")</f>
        <v>0</v>
      </c>
      <c r="H95" s="79" t="str">
        <f>IF(ISNUMBER(G95),IF(ABS(G95)&lt;='前提'!$E$178,"一致","不一致"),IF(E95=F95,"一致","不一致"))</f>
        <v>一致</v>
      </c>
      <c r="I95" s="73" t="inlineStr">
        <is>
          <t>損益と現金 I30</t>
        </is>
      </c>
    </row>
    <row r="96">
      <c r="A96" s="33" t="inlineStr">
        <is>
          <t>現金</t>
        </is>
      </c>
      <c r="B96" s="56" t="inlineStr">
        <is>
          <t>期末の現金</t>
        </is>
      </c>
      <c r="C96" s="83" t="n">
        <v>8</v>
      </c>
      <c r="D96" s="33" t="inlineStr">
        <is>
          <t>万円</t>
        </is>
      </c>
      <c r="E96" s="34">
        <f>'損益と現金'!$J$30</f>
        <v>31134</v>
      </c>
      <c r="F96" s="77" t="n">
        <v>31134</v>
      </c>
      <c r="G96" s="78">
        <f>IF(AND(ISNUMBER(E96),ISNUMBER(F96)),E96-F96,"─")</f>
        <v>0</v>
      </c>
      <c r="H96" s="79" t="str">
        <f>IF(ISNUMBER(G96),IF(ABS(G96)&lt;='前提'!$E$178,"一致","不一致"),IF(E96=F96,"一致","不一致"))</f>
        <v>一致</v>
      </c>
      <c r="I96" s="73" t="inlineStr">
        <is>
          <t>損益と現金 J30</t>
        </is>
      </c>
    </row>
    <row r="97">
      <c r="A97" s="33" t="inlineStr">
        <is>
          <t>現金</t>
        </is>
      </c>
      <c r="B97" s="56" t="inlineStr">
        <is>
          <t>期末の現金</t>
        </is>
      </c>
      <c r="C97" s="83" t="n">
        <v>9</v>
      </c>
      <c r="D97" s="33" t="inlineStr">
        <is>
          <t>万円</t>
        </is>
      </c>
      <c r="E97" s="34">
        <f>'損益と現金'!$K$30</f>
        <v>47441</v>
      </c>
      <c r="F97" s="77" t="n">
        <v>47440.99999999999</v>
      </c>
      <c r="G97" s="78">
        <f>IF(AND(ISNUMBER(E97),ISNUMBER(F97)),E97-F97,"─")</f>
        <v>0</v>
      </c>
      <c r="H97" s="79" t="str">
        <f>IF(ISNUMBER(G97),IF(ABS(G97)&lt;='前提'!$E$178,"一致","不一致"),IF(E97=F97,"一致","不一致"))</f>
        <v>一致</v>
      </c>
      <c r="I97" s="73" t="inlineStr">
        <is>
          <t>損益と現金 K30</t>
        </is>
      </c>
    </row>
    <row r="98">
      <c r="A98" s="33" t="inlineStr">
        <is>
          <t>現金</t>
        </is>
      </c>
      <c r="B98" s="56" t="inlineStr">
        <is>
          <t>期末の現金</t>
        </is>
      </c>
      <c r="C98" s="83" t="n">
        <v>10</v>
      </c>
      <c r="D98" s="33" t="inlineStr">
        <is>
          <t>万円</t>
        </is>
      </c>
      <c r="E98" s="34">
        <f>'損益と現金'!$L$30</f>
        <v>66421.5</v>
      </c>
      <c r="F98" s="77" t="n">
        <v>66421.5</v>
      </c>
      <c r="G98" s="78">
        <f>IF(AND(ISNUMBER(E98),ISNUMBER(F98)),E98-F98,"─")</f>
        <v>0</v>
      </c>
      <c r="H98" s="79" t="str">
        <f>IF(ISNUMBER(G98),IF(ABS(G98)&lt;='前提'!$E$178,"一致","不一致"),IF(E98=F98,"一致","不一致"))</f>
        <v>一致</v>
      </c>
      <c r="I98" s="73" t="inlineStr">
        <is>
          <t>損益と現金 L30</t>
        </is>
      </c>
    </row>
    <row r="99">
      <c r="A99" s="33" t="inlineStr">
        <is>
          <t>体制</t>
        </is>
      </c>
      <c r="B99" s="56" t="inlineStr">
        <is>
          <t>社員数</t>
        </is>
      </c>
      <c r="C99" s="83" t="n">
        <v>1</v>
      </c>
      <c r="D99" s="33" t="inlineStr">
        <is>
          <t>人</t>
        </is>
      </c>
      <c r="E99" s="34">
        <f>'体制と人件費'!$C$46</f>
        <v>5</v>
      </c>
      <c r="F99" s="77" t="n">
        <v>5</v>
      </c>
      <c r="G99" s="78">
        <f>IF(AND(ISNUMBER(E99),ISNUMBER(F99)),E99-F99,"─")</f>
        <v>0</v>
      </c>
      <c r="H99" s="79" t="str">
        <f>IF(ISNUMBER(G99),IF(ABS(G99)&lt;='前提'!$E$178,"一致","不一致"),IF(E99=F99,"一致","不一致"))</f>
        <v>一致</v>
      </c>
      <c r="I99" s="73" t="inlineStr">
        <is>
          <t>体制と人件費 C46</t>
        </is>
      </c>
    </row>
    <row r="100">
      <c r="A100" s="33" t="inlineStr">
        <is>
          <t>体制</t>
        </is>
      </c>
      <c r="B100" s="56" t="inlineStr">
        <is>
          <t>社員数</t>
        </is>
      </c>
      <c r="C100" s="83" t="n">
        <v>2</v>
      </c>
      <c r="D100" s="33" t="inlineStr">
        <is>
          <t>人</t>
        </is>
      </c>
      <c r="E100" s="34">
        <f>'体制と人件費'!$D$46</f>
        <v>8</v>
      </c>
      <c r="F100" s="77" t="n">
        <v>8</v>
      </c>
      <c r="G100" s="78">
        <f>IF(AND(ISNUMBER(E100),ISNUMBER(F100)),E100-F100,"─")</f>
        <v>0</v>
      </c>
      <c r="H100" s="79" t="str">
        <f>IF(ISNUMBER(G100),IF(ABS(G100)&lt;='前提'!$E$178,"一致","不一致"),IF(E100=F100,"一致","不一致"))</f>
        <v>一致</v>
      </c>
      <c r="I100" s="73" t="inlineStr">
        <is>
          <t>体制と人件費 D46</t>
        </is>
      </c>
    </row>
    <row r="101">
      <c r="A101" s="33" t="inlineStr">
        <is>
          <t>体制</t>
        </is>
      </c>
      <c r="B101" s="56" t="inlineStr">
        <is>
          <t>社員数</t>
        </is>
      </c>
      <c r="C101" s="83" t="n">
        <v>3</v>
      </c>
      <c r="D101" s="33" t="inlineStr">
        <is>
          <t>人</t>
        </is>
      </c>
      <c r="E101" s="34">
        <f>'体制と人件費'!$E$46</f>
        <v>12</v>
      </c>
      <c r="F101" s="77" t="n">
        <v>12</v>
      </c>
      <c r="G101" s="78">
        <f>IF(AND(ISNUMBER(E101),ISNUMBER(F101)),E101-F101,"─")</f>
        <v>0</v>
      </c>
      <c r="H101" s="79" t="str">
        <f>IF(ISNUMBER(G101),IF(ABS(G101)&lt;='前提'!$E$178,"一致","不一致"),IF(E101=F101,"一致","不一致"))</f>
        <v>一致</v>
      </c>
      <c r="I101" s="73" t="inlineStr">
        <is>
          <t>体制と人件費 E46</t>
        </is>
      </c>
    </row>
    <row r="102">
      <c r="A102" s="33" t="inlineStr">
        <is>
          <t>体制</t>
        </is>
      </c>
      <c r="B102" s="56" t="inlineStr">
        <is>
          <t>社員数</t>
        </is>
      </c>
      <c r="C102" s="83" t="n">
        <v>4</v>
      </c>
      <c r="D102" s="33" t="inlineStr">
        <is>
          <t>人</t>
        </is>
      </c>
      <c r="E102" s="34">
        <f>'体制と人件費'!$F$46</f>
        <v>18</v>
      </c>
      <c r="F102" s="77" t="n">
        <v>18</v>
      </c>
      <c r="G102" s="78">
        <f>IF(AND(ISNUMBER(E102),ISNUMBER(F102)),E102-F102,"─")</f>
        <v>0</v>
      </c>
      <c r="H102" s="79" t="str">
        <f>IF(ISNUMBER(G102),IF(ABS(G102)&lt;='前提'!$E$178,"一致","不一致"),IF(E102=F102,"一致","不一致"))</f>
        <v>一致</v>
      </c>
      <c r="I102" s="73" t="inlineStr">
        <is>
          <t>体制と人件費 F46</t>
        </is>
      </c>
    </row>
    <row r="103">
      <c r="A103" s="33" t="inlineStr">
        <is>
          <t>体制</t>
        </is>
      </c>
      <c r="B103" s="56" t="inlineStr">
        <is>
          <t>社員数</t>
        </is>
      </c>
      <c r="C103" s="83" t="n">
        <v>5</v>
      </c>
      <c r="D103" s="33" t="inlineStr">
        <is>
          <t>人</t>
        </is>
      </c>
      <c r="E103" s="34">
        <f>'体制と人件費'!$G$46</f>
        <v>23</v>
      </c>
      <c r="F103" s="77" t="n">
        <v>23</v>
      </c>
      <c r="G103" s="78">
        <f>IF(AND(ISNUMBER(E103),ISNUMBER(F103)),E103-F103,"─")</f>
        <v>0</v>
      </c>
      <c r="H103" s="79" t="str">
        <f>IF(ISNUMBER(G103),IF(ABS(G103)&lt;='前提'!$E$178,"一致","不一致"),IF(E103=F103,"一致","不一致"))</f>
        <v>一致</v>
      </c>
      <c r="I103" s="73" t="inlineStr">
        <is>
          <t>体制と人件費 G46</t>
        </is>
      </c>
    </row>
    <row r="104">
      <c r="A104" s="33" t="inlineStr">
        <is>
          <t>体制</t>
        </is>
      </c>
      <c r="B104" s="56" t="inlineStr">
        <is>
          <t>社員数</t>
        </is>
      </c>
      <c r="C104" s="83" t="n">
        <v>6</v>
      </c>
      <c r="D104" s="33" t="inlineStr">
        <is>
          <t>人</t>
        </is>
      </c>
      <c r="E104" s="34">
        <f>'体制と人件費'!$H$46</f>
        <v>24</v>
      </c>
      <c r="F104" s="77" t="n">
        <v>24</v>
      </c>
      <c r="G104" s="78">
        <f>IF(AND(ISNUMBER(E104),ISNUMBER(F104)),E104-F104,"─")</f>
        <v>0</v>
      </c>
      <c r="H104" s="79" t="str">
        <f>IF(ISNUMBER(G104),IF(ABS(G104)&lt;='前提'!$E$178,"一致","不一致"),IF(E104=F104,"一致","不一致"))</f>
        <v>一致</v>
      </c>
      <c r="I104" s="73" t="inlineStr">
        <is>
          <t>体制と人件費 H46</t>
        </is>
      </c>
    </row>
    <row r="105">
      <c r="A105" s="33" t="inlineStr">
        <is>
          <t>体制</t>
        </is>
      </c>
      <c r="B105" s="56" t="inlineStr">
        <is>
          <t>社員数</t>
        </is>
      </c>
      <c r="C105" s="83" t="n">
        <v>7</v>
      </c>
      <c r="D105" s="33" t="inlineStr">
        <is>
          <t>人</t>
        </is>
      </c>
      <c r="E105" s="34">
        <f>'体制と人件費'!$I$46</f>
        <v>27</v>
      </c>
      <c r="F105" s="77" t="n">
        <v>27</v>
      </c>
      <c r="G105" s="78">
        <f>IF(AND(ISNUMBER(E105),ISNUMBER(F105)),E105-F105,"─")</f>
        <v>0</v>
      </c>
      <c r="H105" s="79" t="str">
        <f>IF(ISNUMBER(G105),IF(ABS(G105)&lt;='前提'!$E$178,"一致","不一致"),IF(E105=F105,"一致","不一致"))</f>
        <v>一致</v>
      </c>
      <c r="I105" s="73" t="inlineStr">
        <is>
          <t>体制と人件費 I46</t>
        </is>
      </c>
    </row>
    <row r="106">
      <c r="A106" s="33" t="inlineStr">
        <is>
          <t>体制</t>
        </is>
      </c>
      <c r="B106" s="56" t="inlineStr">
        <is>
          <t>社員数</t>
        </is>
      </c>
      <c r="C106" s="83" t="n">
        <v>8</v>
      </c>
      <c r="D106" s="33" t="inlineStr">
        <is>
          <t>人</t>
        </is>
      </c>
      <c r="E106" s="34">
        <f>'体制と人件費'!$J$46</f>
        <v>29</v>
      </c>
      <c r="F106" s="77" t="n">
        <v>29</v>
      </c>
      <c r="G106" s="78">
        <f>IF(AND(ISNUMBER(E106),ISNUMBER(F106)),E106-F106,"─")</f>
        <v>0</v>
      </c>
      <c r="H106" s="79" t="str">
        <f>IF(ISNUMBER(G106),IF(ABS(G106)&lt;='前提'!$E$178,"一致","不一致"),IF(E106=F106,"一致","不一致"))</f>
        <v>一致</v>
      </c>
      <c r="I106" s="73" t="inlineStr">
        <is>
          <t>体制と人件費 J46</t>
        </is>
      </c>
    </row>
    <row r="107">
      <c r="A107" s="33" t="inlineStr">
        <is>
          <t>体制</t>
        </is>
      </c>
      <c r="B107" s="56" t="inlineStr">
        <is>
          <t>社員数</t>
        </is>
      </c>
      <c r="C107" s="83" t="n">
        <v>9</v>
      </c>
      <c r="D107" s="33" t="inlineStr">
        <is>
          <t>人</t>
        </is>
      </c>
      <c r="E107" s="34">
        <f>'体制と人件費'!$K$46</f>
        <v>30</v>
      </c>
      <c r="F107" s="77" t="n">
        <v>30</v>
      </c>
      <c r="G107" s="78">
        <f>IF(AND(ISNUMBER(E107),ISNUMBER(F107)),E107-F107,"─")</f>
        <v>0</v>
      </c>
      <c r="H107" s="79" t="str">
        <f>IF(ISNUMBER(G107),IF(ABS(G107)&lt;='前提'!$E$178,"一致","不一致"),IF(E107=F107,"一致","不一致"))</f>
        <v>一致</v>
      </c>
      <c r="I107" s="73" t="inlineStr">
        <is>
          <t>体制と人件費 K46</t>
        </is>
      </c>
    </row>
    <row r="108">
      <c r="A108" s="33" t="inlineStr">
        <is>
          <t>体制</t>
        </is>
      </c>
      <c r="B108" s="56" t="inlineStr">
        <is>
          <t>社員数</t>
        </is>
      </c>
      <c r="C108" s="83" t="n">
        <v>10</v>
      </c>
      <c r="D108" s="33" t="inlineStr">
        <is>
          <t>人</t>
        </is>
      </c>
      <c r="E108" s="34">
        <f>'体制と人件費'!$L$46</f>
        <v>32</v>
      </c>
      <c r="F108" s="77" t="n">
        <v>32</v>
      </c>
      <c r="G108" s="78">
        <f>IF(AND(ISNUMBER(E108),ISNUMBER(F108)),E108-F108,"─")</f>
        <v>0</v>
      </c>
      <c r="H108" s="79" t="str">
        <f>IF(ISNUMBER(G108),IF(ABS(G108)&lt;='前提'!$E$178,"一致","不一致"),IF(E108=F108,"一致","不一致"))</f>
        <v>一致</v>
      </c>
      <c r="I108" s="73" t="inlineStr">
        <is>
          <t>体制と人件費 L46</t>
        </is>
      </c>
    </row>
    <row r="109">
      <c r="A109" s="33" t="inlineStr">
        <is>
          <t>体制</t>
        </is>
      </c>
      <c r="B109" s="56" t="inlineStr">
        <is>
          <t>人件費</t>
        </is>
      </c>
      <c r="C109" s="83" t="n">
        <v>1</v>
      </c>
      <c r="D109" s="33" t="inlineStr">
        <is>
          <t>万円</t>
        </is>
      </c>
      <c r="E109" s="34">
        <f>'体制と人件費'!$C$48</f>
        <v>4236</v>
      </c>
      <c r="F109" s="77" t="n">
        <v>4236</v>
      </c>
      <c r="G109" s="78">
        <f>IF(AND(ISNUMBER(E109),ISNUMBER(F109)),E109-F109,"─")</f>
        <v>0</v>
      </c>
      <c r="H109" s="79" t="str">
        <f>IF(ISNUMBER(G109),IF(ABS(G109)&lt;='前提'!$E$178,"一致","不一致"),IF(E109=F109,"一致","不一致"))</f>
        <v>一致</v>
      </c>
      <c r="I109" s="73" t="inlineStr">
        <is>
          <t>体制と人件費 C48</t>
        </is>
      </c>
    </row>
    <row r="110">
      <c r="A110" s="33" t="inlineStr">
        <is>
          <t>体制</t>
        </is>
      </c>
      <c r="B110" s="56" t="inlineStr">
        <is>
          <t>人件費</t>
        </is>
      </c>
      <c r="C110" s="83" t="n">
        <v>2</v>
      </c>
      <c r="D110" s="33" t="inlineStr">
        <is>
          <t>万円</t>
        </is>
      </c>
      <c r="E110" s="34">
        <f>'体制と人件費'!$D$48</f>
        <v>6840</v>
      </c>
      <c r="F110" s="77" t="n">
        <v>6840</v>
      </c>
      <c r="G110" s="78">
        <f>IF(AND(ISNUMBER(E110),ISNUMBER(F110)),E110-F110,"─")</f>
        <v>0</v>
      </c>
      <c r="H110" s="79" t="str">
        <f>IF(ISNUMBER(G110),IF(ABS(G110)&lt;='前提'!$E$178,"一致","不一致"),IF(E110=F110,"一致","不一致"))</f>
        <v>一致</v>
      </c>
      <c r="I110" s="73" t="inlineStr">
        <is>
          <t>体制と人件費 D48</t>
        </is>
      </c>
    </row>
    <row r="111">
      <c r="A111" s="33" t="inlineStr">
        <is>
          <t>体制</t>
        </is>
      </c>
      <c r="B111" s="56" t="inlineStr">
        <is>
          <t>人件費</t>
        </is>
      </c>
      <c r="C111" s="83" t="n">
        <v>3</v>
      </c>
      <c r="D111" s="33" t="inlineStr">
        <is>
          <t>万円</t>
        </is>
      </c>
      <c r="E111" s="34">
        <f>'体制と人件費'!$E$48</f>
        <v>10044</v>
      </c>
      <c r="F111" s="77" t="n">
        <v>10044</v>
      </c>
      <c r="G111" s="78">
        <f>IF(AND(ISNUMBER(E111),ISNUMBER(F111)),E111-F111,"─")</f>
        <v>0</v>
      </c>
      <c r="H111" s="79" t="str">
        <f>IF(ISNUMBER(G111),IF(ABS(G111)&lt;='前提'!$E$178,"一致","不一致"),IF(E111=F111,"一致","不一致"))</f>
        <v>一致</v>
      </c>
      <c r="I111" s="73" t="inlineStr">
        <is>
          <t>体制と人件費 E48</t>
        </is>
      </c>
    </row>
    <row r="112">
      <c r="A112" s="33" t="inlineStr">
        <is>
          <t>体制</t>
        </is>
      </c>
      <c r="B112" s="56" t="inlineStr">
        <is>
          <t>人件費</t>
        </is>
      </c>
      <c r="C112" s="83" t="n">
        <v>4</v>
      </c>
      <c r="D112" s="33" t="inlineStr">
        <is>
          <t>万円</t>
        </is>
      </c>
      <c r="E112" s="34">
        <f>'体制と人件費'!$F$48</f>
        <v>14844</v>
      </c>
      <c r="F112" s="77" t="n">
        <v>14844</v>
      </c>
      <c r="G112" s="78">
        <f>IF(AND(ISNUMBER(E112),ISNUMBER(F112)),E112-F112,"─")</f>
        <v>0</v>
      </c>
      <c r="H112" s="79" t="str">
        <f>IF(ISNUMBER(G112),IF(ABS(G112)&lt;='前提'!$E$178,"一致","不一致"),IF(E112=F112,"一致","不一致"))</f>
        <v>一致</v>
      </c>
      <c r="I112" s="73" t="inlineStr">
        <is>
          <t>体制と人件費 F48</t>
        </is>
      </c>
    </row>
    <row r="113">
      <c r="A113" s="33" t="inlineStr">
        <is>
          <t>体制</t>
        </is>
      </c>
      <c r="B113" s="56" t="inlineStr">
        <is>
          <t>人件費</t>
        </is>
      </c>
      <c r="C113" s="83" t="n">
        <v>5</v>
      </c>
      <c r="D113" s="33" t="inlineStr">
        <is>
          <t>万円</t>
        </is>
      </c>
      <c r="E113" s="34">
        <f>'体制と人件費'!$G$48</f>
        <v>18684</v>
      </c>
      <c r="F113" s="77" t="n">
        <v>18684</v>
      </c>
      <c r="G113" s="78">
        <f>IF(AND(ISNUMBER(E113),ISNUMBER(F113)),E113-F113,"─")</f>
        <v>0</v>
      </c>
      <c r="H113" s="79" t="str">
        <f>IF(ISNUMBER(G113),IF(ABS(G113)&lt;='前提'!$E$178,"一致","不一致"),IF(E113=F113,"一致","不一致"))</f>
        <v>一致</v>
      </c>
      <c r="I113" s="73" t="inlineStr">
        <is>
          <t>体制と人件費 G48</t>
        </is>
      </c>
    </row>
    <row r="114">
      <c r="A114" s="33" t="inlineStr">
        <is>
          <t>体制</t>
        </is>
      </c>
      <c r="B114" s="56" t="inlineStr">
        <is>
          <t>人件費</t>
        </is>
      </c>
      <c r="C114" s="83" t="n">
        <v>6</v>
      </c>
      <c r="D114" s="33" t="inlineStr">
        <is>
          <t>万円</t>
        </is>
      </c>
      <c r="E114" s="34">
        <f>'体制と人件費'!$H$48</f>
        <v>19644</v>
      </c>
      <c r="F114" s="77" t="n">
        <v>19644</v>
      </c>
      <c r="G114" s="78">
        <f>IF(AND(ISNUMBER(E114),ISNUMBER(F114)),E114-F114,"─")</f>
        <v>0</v>
      </c>
      <c r="H114" s="79" t="str">
        <f>IF(ISNUMBER(G114),IF(ABS(G114)&lt;='前提'!$E$178,"一致","不一致"),IF(E114=F114,"一致","不一致"))</f>
        <v>一致</v>
      </c>
      <c r="I114" s="73" t="inlineStr">
        <is>
          <t>体制と人件費 H48</t>
        </is>
      </c>
    </row>
    <row r="115">
      <c r="A115" s="33" t="inlineStr">
        <is>
          <t>体制</t>
        </is>
      </c>
      <c r="B115" s="56" t="inlineStr">
        <is>
          <t>人件費</t>
        </is>
      </c>
      <c r="C115" s="83" t="n">
        <v>7</v>
      </c>
      <c r="D115" s="33" t="inlineStr">
        <is>
          <t>万円</t>
        </is>
      </c>
      <c r="E115" s="34">
        <f>'体制と人件費'!$I$48</f>
        <v>21924</v>
      </c>
      <c r="F115" s="77" t="n">
        <v>21924</v>
      </c>
      <c r="G115" s="78">
        <f>IF(AND(ISNUMBER(E115),ISNUMBER(F115)),E115-F115,"─")</f>
        <v>0</v>
      </c>
      <c r="H115" s="79" t="str">
        <f>IF(ISNUMBER(G115),IF(ABS(G115)&lt;='前提'!$E$178,"一致","不一致"),IF(E115=F115,"一致","不一致"))</f>
        <v>一致</v>
      </c>
      <c r="I115" s="73" t="inlineStr">
        <is>
          <t>体制と人件費 I48</t>
        </is>
      </c>
    </row>
    <row r="116">
      <c r="A116" s="33" t="inlineStr">
        <is>
          <t>体制</t>
        </is>
      </c>
      <c r="B116" s="56" t="inlineStr">
        <is>
          <t>人件費</t>
        </is>
      </c>
      <c r="C116" s="83" t="n">
        <v>8</v>
      </c>
      <c r="D116" s="33" t="inlineStr">
        <is>
          <t>万円</t>
        </is>
      </c>
      <c r="E116" s="34">
        <f>'体制と人件費'!$J$48</f>
        <v>23544</v>
      </c>
      <c r="F116" s="77" t="n">
        <v>23544</v>
      </c>
      <c r="G116" s="78">
        <f>IF(AND(ISNUMBER(E116),ISNUMBER(F116)),E116-F116,"─")</f>
        <v>0</v>
      </c>
      <c r="H116" s="79" t="str">
        <f>IF(ISNUMBER(G116),IF(ABS(G116)&lt;='前提'!$E$178,"一致","不一致"),IF(E116=F116,"一致","不一致"))</f>
        <v>一致</v>
      </c>
      <c r="I116" s="73" t="inlineStr">
        <is>
          <t>体制と人件費 J48</t>
        </is>
      </c>
    </row>
    <row r="117">
      <c r="A117" s="33" t="inlineStr">
        <is>
          <t>体制</t>
        </is>
      </c>
      <c r="B117" s="56" t="inlineStr">
        <is>
          <t>人件費</t>
        </is>
      </c>
      <c r="C117" s="83" t="n">
        <v>9</v>
      </c>
      <c r="D117" s="33" t="inlineStr">
        <is>
          <t>万円</t>
        </is>
      </c>
      <c r="E117" s="34">
        <f>'体制と人件費'!$K$48</f>
        <v>24384</v>
      </c>
      <c r="F117" s="77" t="n">
        <v>24384</v>
      </c>
      <c r="G117" s="78">
        <f>IF(AND(ISNUMBER(E117),ISNUMBER(F117)),E117-F117,"─")</f>
        <v>0</v>
      </c>
      <c r="H117" s="79" t="str">
        <f>IF(ISNUMBER(G117),IF(ABS(G117)&lt;='前提'!$E$178,"一致","不一致"),IF(E117=F117,"一致","不一致"))</f>
        <v>一致</v>
      </c>
      <c r="I117" s="73" t="inlineStr">
        <is>
          <t>体制と人件費 K48</t>
        </is>
      </c>
    </row>
    <row r="118">
      <c r="A118" s="33" t="inlineStr">
        <is>
          <t>体制</t>
        </is>
      </c>
      <c r="B118" s="56" t="inlineStr">
        <is>
          <t>人件費</t>
        </is>
      </c>
      <c r="C118" s="83" t="n">
        <v>10</v>
      </c>
      <c r="D118" s="33" t="inlineStr">
        <is>
          <t>万円</t>
        </is>
      </c>
      <c r="E118" s="34">
        <f>'体制と人件費'!$L$48</f>
        <v>26124</v>
      </c>
      <c r="F118" s="77" t="n">
        <v>26124</v>
      </c>
      <c r="G118" s="78">
        <f>IF(AND(ISNUMBER(E118),ISNUMBER(F118)),E118-F118,"─")</f>
        <v>0</v>
      </c>
      <c r="H118" s="79" t="str">
        <f>IF(ISNUMBER(G118),IF(ABS(G118)&lt;='前提'!$E$178,"一致","不一致"),IF(E118=F118,"一致","不一致"))</f>
        <v>一致</v>
      </c>
      <c r="I118" s="73" t="inlineStr">
        <is>
          <t>体制と人件費 L48</t>
        </is>
      </c>
    </row>
    <row r="119">
      <c r="A119" s="33" t="inlineStr">
        <is>
          <t>体制</t>
        </is>
      </c>
      <c r="B119" s="56" t="inlineStr">
        <is>
          <t>採用費</t>
        </is>
      </c>
      <c r="C119" s="83" t="n">
        <v>1</v>
      </c>
      <c r="D119" s="33" t="inlineStr">
        <is>
          <t>万円</t>
        </is>
      </c>
      <c r="E119" s="40">
        <f>'体制と人件費'!$C$49</f>
        <v>529.5</v>
      </c>
      <c r="F119" s="80" t="n">
        <v>529.5</v>
      </c>
      <c r="G119" s="78">
        <f>IF(AND(ISNUMBER(E119),ISNUMBER(F119)),E119-F119,"─")</f>
        <v>0</v>
      </c>
      <c r="H119" s="79" t="str">
        <f>IF(ISNUMBER(G119),IF(ABS(G119)&lt;='前提'!$E$178,"一致","不一致"),IF(E119=F119,"一致","不一致"))</f>
        <v>一致</v>
      </c>
      <c r="I119" s="73" t="inlineStr">
        <is>
          <t>体制と人件費 C49</t>
        </is>
      </c>
    </row>
    <row r="120">
      <c r="A120" s="33" t="inlineStr">
        <is>
          <t>体制</t>
        </is>
      </c>
      <c r="B120" s="56" t="inlineStr">
        <is>
          <t>採用費</t>
        </is>
      </c>
      <c r="C120" s="83" t="n">
        <v>2</v>
      </c>
      <c r="D120" s="33" t="inlineStr">
        <is>
          <t>万円</t>
        </is>
      </c>
      <c r="E120" s="40">
        <f>'体制と人件費'!$D$49</f>
        <v>307.5</v>
      </c>
      <c r="F120" s="80" t="n">
        <v>307.5</v>
      </c>
      <c r="G120" s="78">
        <f>IF(AND(ISNUMBER(E120),ISNUMBER(F120)),E120-F120,"─")</f>
        <v>0</v>
      </c>
      <c r="H120" s="79" t="str">
        <f>IF(ISNUMBER(G120),IF(ABS(G120)&lt;='前提'!$E$178,"一致","不一致"),IF(E120=F120,"一致","不一致"))</f>
        <v>一致</v>
      </c>
      <c r="I120" s="73" t="inlineStr">
        <is>
          <t>体制と人件費 D49</t>
        </is>
      </c>
    </row>
    <row r="121">
      <c r="A121" s="33" t="inlineStr">
        <is>
          <t>体制</t>
        </is>
      </c>
      <c r="B121" s="56" t="inlineStr">
        <is>
          <t>採用費</t>
        </is>
      </c>
      <c r="C121" s="83" t="n">
        <v>3</v>
      </c>
      <c r="D121" s="33" t="inlineStr">
        <is>
          <t>万円</t>
        </is>
      </c>
      <c r="E121" s="40">
        <f>'体制と人件費'!$E$49</f>
        <v>382.5</v>
      </c>
      <c r="F121" s="80" t="n">
        <v>382.5</v>
      </c>
      <c r="G121" s="78">
        <f>IF(AND(ISNUMBER(E121),ISNUMBER(F121)),E121-F121,"─")</f>
        <v>0</v>
      </c>
      <c r="H121" s="79" t="str">
        <f>IF(ISNUMBER(G121),IF(ABS(G121)&lt;='前提'!$E$178,"一致","不一致"),IF(E121=F121,"一致","不一致"))</f>
        <v>一致</v>
      </c>
      <c r="I121" s="73" t="inlineStr">
        <is>
          <t>体制と人件費 E49</t>
        </is>
      </c>
    </row>
    <row r="122">
      <c r="A122" s="33" t="inlineStr">
        <is>
          <t>体制</t>
        </is>
      </c>
      <c r="B122" s="56" t="inlineStr">
        <is>
          <t>採用費</t>
        </is>
      </c>
      <c r="C122" s="83" t="n">
        <v>4</v>
      </c>
      <c r="D122" s="33" t="inlineStr">
        <is>
          <t>万円</t>
        </is>
      </c>
      <c r="E122" s="34">
        <f>'体制と人件費'!$F$49</f>
        <v>600</v>
      </c>
      <c r="F122" s="77" t="n">
        <v>600</v>
      </c>
      <c r="G122" s="78">
        <f>IF(AND(ISNUMBER(E122),ISNUMBER(F122)),E122-F122,"─")</f>
        <v>0</v>
      </c>
      <c r="H122" s="79" t="str">
        <f>IF(ISNUMBER(G122),IF(ABS(G122)&lt;='前提'!$E$178,"一致","不一致"),IF(E122=F122,"一致","不一致"))</f>
        <v>一致</v>
      </c>
      <c r="I122" s="73" t="inlineStr">
        <is>
          <t>体制と人件費 F49</t>
        </is>
      </c>
    </row>
    <row r="123">
      <c r="A123" s="33" t="inlineStr">
        <is>
          <t>体制</t>
        </is>
      </c>
      <c r="B123" s="56" t="inlineStr">
        <is>
          <t>採用費</t>
        </is>
      </c>
      <c r="C123" s="83" t="n">
        <v>5</v>
      </c>
      <c r="D123" s="33" t="inlineStr">
        <is>
          <t>万円</t>
        </is>
      </c>
      <c r="E123" s="34">
        <f>'体制と人件費'!$G$49</f>
        <v>480</v>
      </c>
      <c r="F123" s="77" t="n">
        <v>480</v>
      </c>
      <c r="G123" s="78">
        <f>IF(AND(ISNUMBER(E123),ISNUMBER(F123)),E123-F123,"─")</f>
        <v>0</v>
      </c>
      <c r="H123" s="79" t="str">
        <f>IF(ISNUMBER(G123),IF(ABS(G123)&lt;='前提'!$E$178,"一致","不一致"),IF(E123=F123,"一致","不一致"))</f>
        <v>一致</v>
      </c>
      <c r="I123" s="73" t="inlineStr">
        <is>
          <t>体制と人件費 G49</t>
        </is>
      </c>
    </row>
    <row r="124">
      <c r="A124" s="33" t="inlineStr">
        <is>
          <t>体制</t>
        </is>
      </c>
      <c r="B124" s="56" t="inlineStr">
        <is>
          <t>採用費</t>
        </is>
      </c>
      <c r="C124" s="83" t="n">
        <v>6</v>
      </c>
      <c r="D124" s="33" t="inlineStr">
        <is>
          <t>万円</t>
        </is>
      </c>
      <c r="E124" s="34">
        <f>'体制と人件費'!$H$49</f>
        <v>120</v>
      </c>
      <c r="F124" s="77" t="n">
        <v>120</v>
      </c>
      <c r="G124" s="78">
        <f>IF(AND(ISNUMBER(E124),ISNUMBER(F124)),E124-F124,"─")</f>
        <v>0</v>
      </c>
      <c r="H124" s="79" t="str">
        <f>IF(ISNUMBER(G124),IF(ABS(G124)&lt;='前提'!$E$178,"一致","不一致"),IF(E124=F124,"一致","不一致"))</f>
        <v>一致</v>
      </c>
      <c r="I124" s="73" t="inlineStr">
        <is>
          <t>体制と人件費 H49</t>
        </is>
      </c>
    </row>
    <row r="125">
      <c r="A125" s="33" t="inlineStr">
        <is>
          <t>体制</t>
        </is>
      </c>
      <c r="B125" s="56" t="inlineStr">
        <is>
          <t>採用費</t>
        </is>
      </c>
      <c r="C125" s="83" t="n">
        <v>7</v>
      </c>
      <c r="D125" s="33" t="inlineStr">
        <is>
          <t>万円</t>
        </is>
      </c>
      <c r="E125" s="34">
        <f>'体制と人件費'!$I$49</f>
        <v>285</v>
      </c>
      <c r="F125" s="77" t="n">
        <v>285</v>
      </c>
      <c r="G125" s="78">
        <f>IF(AND(ISNUMBER(E125),ISNUMBER(F125)),E125-F125,"─")</f>
        <v>0</v>
      </c>
      <c r="H125" s="79" t="str">
        <f>IF(ISNUMBER(G125),IF(ABS(G125)&lt;='前提'!$E$178,"一致","不一致"),IF(E125=F125,"一致","不一致"))</f>
        <v>一致</v>
      </c>
      <c r="I125" s="73" t="inlineStr">
        <is>
          <t>体制と人件費 I49</t>
        </is>
      </c>
    </row>
    <row r="126">
      <c r="A126" s="33" t="inlineStr">
        <is>
          <t>体制</t>
        </is>
      </c>
      <c r="B126" s="56" t="inlineStr">
        <is>
          <t>採用費</t>
        </is>
      </c>
      <c r="C126" s="83" t="n">
        <v>8</v>
      </c>
      <c r="D126" s="33" t="inlineStr">
        <is>
          <t>万円</t>
        </is>
      </c>
      <c r="E126" s="40">
        <f>'体制と人件費'!$J$49</f>
        <v>202.5</v>
      </c>
      <c r="F126" s="80" t="n">
        <v>202.5</v>
      </c>
      <c r="G126" s="78">
        <f>IF(AND(ISNUMBER(E126),ISNUMBER(F126)),E126-F126,"─")</f>
        <v>0</v>
      </c>
      <c r="H126" s="79" t="str">
        <f>IF(ISNUMBER(G126),IF(ABS(G126)&lt;='前提'!$E$178,"一致","不一致"),IF(E126=F126,"一致","不一致"))</f>
        <v>一致</v>
      </c>
      <c r="I126" s="73" t="inlineStr">
        <is>
          <t>体制と人件費 J49</t>
        </is>
      </c>
    </row>
    <row r="127">
      <c r="A127" s="33" t="inlineStr">
        <is>
          <t>体制</t>
        </is>
      </c>
      <c r="B127" s="56" t="inlineStr">
        <is>
          <t>採用費</t>
        </is>
      </c>
      <c r="C127" s="83" t="n">
        <v>9</v>
      </c>
      <c r="D127" s="33" t="inlineStr">
        <is>
          <t>万円</t>
        </is>
      </c>
      <c r="E127" s="34">
        <f>'体制と人件費'!$K$49</f>
        <v>105</v>
      </c>
      <c r="F127" s="77" t="n">
        <v>105</v>
      </c>
      <c r="G127" s="78">
        <f>IF(AND(ISNUMBER(E127),ISNUMBER(F127)),E127-F127,"─")</f>
        <v>0</v>
      </c>
      <c r="H127" s="79" t="str">
        <f>IF(ISNUMBER(G127),IF(ABS(G127)&lt;='前提'!$E$178,"一致","不一致"),IF(E127=F127,"一致","不一致"))</f>
        <v>一致</v>
      </c>
      <c r="I127" s="73" t="inlineStr">
        <is>
          <t>体制と人件費 K49</t>
        </is>
      </c>
    </row>
    <row r="128">
      <c r="A128" s="33" t="inlineStr">
        <is>
          <t>体制</t>
        </is>
      </c>
      <c r="B128" s="56" t="inlineStr">
        <is>
          <t>採用費</t>
        </is>
      </c>
      <c r="C128" s="83" t="n">
        <v>10</v>
      </c>
      <c r="D128" s="33" t="inlineStr">
        <is>
          <t>万円</t>
        </is>
      </c>
      <c r="E128" s="40">
        <f>'体制と人件費'!$L$49</f>
        <v>217.5</v>
      </c>
      <c r="F128" s="80" t="n">
        <v>217.5</v>
      </c>
      <c r="G128" s="78">
        <f>IF(AND(ISNUMBER(E128),ISNUMBER(F128)),E128-F128,"─")</f>
        <v>0</v>
      </c>
      <c r="H128" s="79" t="str">
        <f>IF(ISNUMBER(G128),IF(ABS(G128)&lt;='前提'!$E$178,"一致","不一致"),IF(E128=F128,"一致","不一致"))</f>
        <v>一致</v>
      </c>
      <c r="I128" s="73" t="inlineStr">
        <is>
          <t>体制と人件費 L49</t>
        </is>
      </c>
    </row>
    <row r="129">
      <c r="A129" s="33" t="inlineStr">
        <is>
          <t>結果</t>
        </is>
      </c>
      <c r="B129" s="56" t="inlineStr">
        <is>
          <t>黒字化の年（10年で）</t>
        </is>
      </c>
      <c r="C129" s="17" t="n"/>
      <c r="D129" s="33" t="inlineStr">
        <is>
          <t>年目</t>
        </is>
      </c>
      <c r="E129" s="61">
        <f>'損益と現金'!$C$34</f>
        <v>6</v>
      </c>
      <c r="F129" s="66" t="n">
        <v>6</v>
      </c>
      <c r="G129" s="78">
        <f>IF(AND(ISNUMBER(E129),ISNUMBER(F129)),E129-F129,"─")</f>
        <v>0</v>
      </c>
      <c r="H129" s="79" t="str">
        <f>IF(ISNUMBER(G129),IF(ABS(G129)&lt;='前提'!$E$178,"一致","不一致"),IF(E129=F129,"一致","不一致"))</f>
        <v>一致</v>
      </c>
      <c r="I129" s="73" t="inlineStr">
        <is>
          <t>損益と現金 C34</t>
        </is>
      </c>
    </row>
    <row r="130">
      <c r="A130" s="33" t="inlineStr">
        <is>
          <t>結果</t>
        </is>
      </c>
      <c r="B130" s="56" t="inlineStr">
        <is>
          <t>累計回収の年（10年で）</t>
        </is>
      </c>
      <c r="C130" s="17" t="n"/>
      <c r="D130" s="33" t="inlineStr">
        <is>
          <t>年目</t>
        </is>
      </c>
      <c r="E130" s="61">
        <f>'損益と現金'!$C$36</f>
        <v>8</v>
      </c>
      <c r="F130" s="66" t="n">
        <v>8</v>
      </c>
      <c r="G130" s="78">
        <f>IF(AND(ISNUMBER(E130),ISNUMBER(F130)),E130-F130,"─")</f>
        <v>0</v>
      </c>
      <c r="H130" s="79" t="str">
        <f>IF(ISNUMBER(G130),IF(ABS(G130)&lt;='前提'!$E$178,"一致","不一致"),IF(E130=F130,"一致","不一致"))</f>
        <v>一致</v>
      </c>
      <c r="I130" s="73" t="inlineStr">
        <is>
          <t>損益と現金 C36</t>
        </is>
      </c>
    </row>
    <row r="131">
      <c r="A131" s="33" t="inlineStr">
        <is>
          <t>結果</t>
        </is>
      </c>
      <c r="B131" s="56" t="inlineStr">
        <is>
          <t>最低の現金（10年）</t>
        </is>
      </c>
      <c r="C131" s="17" t="n"/>
      <c r="D131" s="33" t="inlineStr">
        <is>
          <t>万円</t>
        </is>
      </c>
      <c r="E131" s="34">
        <f>'損益と現金'!$C$37</f>
        <v>6723.5</v>
      </c>
      <c r="F131" s="77" t="n">
        <v>6723.499999999996</v>
      </c>
      <c r="G131" s="78">
        <f>IF(AND(ISNUMBER(E131),ISNUMBER(F131)),E131-F131,"─")</f>
        <v>0</v>
      </c>
      <c r="H131" s="79" t="str">
        <f>IF(ISNUMBER(G131),IF(ABS(G131)&lt;='前提'!$E$178,"一致","不一致"),IF(E131=F131,"一致","不一致"))</f>
        <v>一致</v>
      </c>
      <c r="I131" s="73" t="inlineStr">
        <is>
          <t>損益と現金 C37</t>
        </is>
      </c>
    </row>
    <row r="132">
      <c r="A132" s="33" t="inlineStr">
        <is>
          <t>結果</t>
        </is>
      </c>
      <c r="B132" s="56" t="inlineStr">
        <is>
          <t>累計赤字の底</t>
        </is>
      </c>
      <c r="C132" s="17" t="n"/>
      <c r="D132" s="33" t="inlineStr">
        <is>
          <t>万円</t>
        </is>
      </c>
      <c r="E132" s="34">
        <f>'損益と現金'!$C$40</f>
        <v>-18276.5</v>
      </c>
      <c r="F132" s="77" t="n">
        <v>-18276.5</v>
      </c>
      <c r="G132" s="78">
        <f>IF(AND(ISNUMBER(E132),ISNUMBER(F132)),E132-F132,"─")</f>
        <v>0</v>
      </c>
      <c r="H132" s="79" t="str">
        <f>IF(ISNUMBER(G132),IF(ABS(G132)&lt;='前提'!$E$178,"一致","不一致"),IF(E132=F132,"一致","不一致"))</f>
        <v>一致</v>
      </c>
      <c r="I132" s="73" t="inlineStr">
        <is>
          <t>損益と現金 C40</t>
        </is>
      </c>
    </row>
    <row r="133">
      <c r="A133" s="33" t="inlineStr">
        <is>
          <t>LTV・CAC</t>
        </is>
      </c>
      <c r="B133" s="56" t="inlineStr">
        <is>
          <t>LTV（7年）</t>
        </is>
      </c>
      <c r="C133" s="17" t="n"/>
      <c r="D133" s="33" t="inlineStr">
        <is>
          <t>万円</t>
        </is>
      </c>
      <c r="E133" s="34">
        <f>'LTV・CAC'!$C$8</f>
        <v>1571</v>
      </c>
      <c r="F133" s="77" t="n">
        <v>1571</v>
      </c>
      <c r="G133" s="78">
        <f>IF(AND(ISNUMBER(E133),ISNUMBER(F133)),E133-F133,"─")</f>
        <v>0</v>
      </c>
      <c r="H133" s="79" t="str">
        <f>IF(ISNUMBER(G133),IF(ABS(G133)&lt;='前提'!$E$178,"一致","不一致"),IF(E133=F133,"一致","不一致"))</f>
        <v>一致</v>
      </c>
      <c r="I133" s="73" t="inlineStr">
        <is>
          <t>LTV・CAC C8</t>
        </is>
      </c>
    </row>
    <row r="134">
      <c r="A134" s="33" t="inlineStr">
        <is>
          <t>LTV・CAC</t>
        </is>
      </c>
      <c r="B134" s="56" t="inlineStr">
        <is>
          <t>LTV（3年）</t>
        </is>
      </c>
      <c r="C134" s="17" t="n"/>
      <c r="D134" s="33" t="inlineStr">
        <is>
          <t>万円</t>
        </is>
      </c>
      <c r="E134" s="34">
        <f>'LTV・CAC'!$C$22</f>
        <v>707</v>
      </c>
      <c r="F134" s="77" t="n">
        <v>707</v>
      </c>
      <c r="G134" s="78">
        <f>IF(AND(ISNUMBER(E134),ISNUMBER(F134)),E134-F134,"─")</f>
        <v>0</v>
      </c>
      <c r="H134" s="79" t="str">
        <f>IF(ISNUMBER(G134),IF(ABS(G134)&lt;='前提'!$E$178,"一致","不一致"),IF(E134=F134,"一致","不一致"))</f>
        <v>一致</v>
      </c>
      <c r="I134" s="73" t="inlineStr">
        <is>
          <t>LTV・CAC C22</t>
        </is>
      </c>
    </row>
    <row r="135">
      <c r="A135" s="33" t="inlineStr">
        <is>
          <t>LTV・CAC</t>
        </is>
      </c>
      <c r="B135" s="56" t="inlineStr">
        <is>
          <t>LTV（5年）</t>
        </is>
      </c>
      <c r="C135" s="17" t="n"/>
      <c r="D135" s="33" t="inlineStr">
        <is>
          <t>万円</t>
        </is>
      </c>
      <c r="E135" s="34">
        <f>'LTV・CAC'!$C$23</f>
        <v>1139</v>
      </c>
      <c r="F135" s="77" t="n">
        <v>1139</v>
      </c>
      <c r="G135" s="78">
        <f>IF(AND(ISNUMBER(E135),ISNUMBER(F135)),E135-F135,"─")</f>
        <v>0</v>
      </c>
      <c r="H135" s="79" t="str">
        <f>IF(ISNUMBER(G135),IF(ABS(G135)&lt;='前提'!$E$178,"一致","不一致"),IF(E135=F135,"一致","不一致"))</f>
        <v>一致</v>
      </c>
      <c r="I135" s="73" t="inlineStr">
        <is>
          <t>LTV・CAC C23</t>
        </is>
      </c>
    </row>
    <row r="136">
      <c r="A136" s="33" t="inlineStr">
        <is>
          <t>LTV・CAC</t>
        </is>
      </c>
      <c r="B136" s="56" t="inlineStr">
        <is>
          <t>LTV（7年）</t>
        </is>
      </c>
      <c r="C136" s="17" t="n"/>
      <c r="D136" s="33" t="inlineStr">
        <is>
          <t>万円</t>
        </is>
      </c>
      <c r="E136" s="34">
        <f>'LTV・CAC'!$C$24</f>
        <v>1571</v>
      </c>
      <c r="F136" s="77" t="n">
        <v>1571</v>
      </c>
      <c r="G136" s="78">
        <f>IF(AND(ISNUMBER(E136),ISNUMBER(F136)),E136-F136,"─")</f>
        <v>0</v>
      </c>
      <c r="H136" s="79" t="str">
        <f>IF(ISNUMBER(G136),IF(ABS(G136)&lt;='前提'!$E$178,"一致","不一致"),IF(E136=F136,"一致","不一致"))</f>
        <v>一致</v>
      </c>
      <c r="I136" s="73" t="inlineStr">
        <is>
          <t>LTV・CAC C24</t>
        </is>
      </c>
    </row>
    <row r="137">
      <c r="A137" s="33" t="inlineStr">
        <is>
          <t>LTV・CAC</t>
        </is>
      </c>
      <c r="B137" s="56" t="inlineStr">
        <is>
          <t>LTV（10年）</t>
        </is>
      </c>
      <c r="C137" s="17" t="n"/>
      <c r="D137" s="33" t="inlineStr">
        <is>
          <t>万円</t>
        </is>
      </c>
      <c r="E137" s="34">
        <f>'LTV・CAC'!$C$25</f>
        <v>2219</v>
      </c>
      <c r="F137" s="77" t="n">
        <v>2219</v>
      </c>
      <c r="G137" s="78">
        <f>IF(AND(ISNUMBER(E137),ISNUMBER(F137)),E137-F137,"─")</f>
        <v>0</v>
      </c>
      <c r="H137" s="79" t="str">
        <f>IF(ISNUMBER(G137),IF(ABS(G137)&lt;='前提'!$E$178,"一致","不一致"),IF(E137=F137,"一致","不一致"))</f>
        <v>一致</v>
      </c>
      <c r="I137" s="73" t="inlineStr">
        <is>
          <t>LTV・CAC C25</t>
        </is>
      </c>
    </row>
    <row r="138">
      <c r="A138" s="33" t="inlineStr">
        <is>
          <t>LTV・CAC</t>
        </is>
      </c>
      <c r="B138" s="56" t="inlineStr">
        <is>
          <t>CAC</t>
        </is>
      </c>
      <c r="C138" s="17" t="n"/>
      <c r="D138" s="33" t="inlineStr">
        <is>
          <t>万円</t>
        </is>
      </c>
      <c r="E138" s="40">
        <f>'LTV・CAC'!$C$17</f>
        <v>86.0606060606061</v>
      </c>
      <c r="F138" s="80" t="n">
        <v>86.06060606060606</v>
      </c>
      <c r="G138" s="78">
        <f>IF(AND(ISNUMBER(E138),ISNUMBER(F138)),E138-F138,"─")</f>
        <v>0</v>
      </c>
      <c r="H138" s="79" t="str">
        <f>IF(ISNUMBER(G138),IF(ABS(G138)&lt;='前提'!$E$178,"一致","不一致"),IF(E138=F138,"一致","不一致"))</f>
        <v>一致</v>
      </c>
      <c r="I138" s="73" t="inlineStr">
        <is>
          <t>LTV・CAC C17</t>
        </is>
      </c>
    </row>
    <row r="139">
      <c r="A139" s="33" t="inlineStr">
        <is>
          <t>LTV・CAC</t>
        </is>
      </c>
      <c r="B139" s="56" t="inlineStr">
        <is>
          <t>回収月数</t>
        </is>
      </c>
      <c r="C139" s="17" t="n"/>
      <c r="D139" s="33" t="inlineStr">
        <is>
          <t>か月</t>
        </is>
      </c>
      <c r="E139" s="40">
        <f>'LTV・CAC'!$C$18</f>
        <v>4.78114478114478</v>
      </c>
      <c r="F139" s="80" t="n">
        <v>4.781144781144781</v>
      </c>
      <c r="G139" s="78">
        <f>IF(AND(ISNUMBER(E139),ISNUMBER(F139)),E139-F139,"─")</f>
        <v>0</v>
      </c>
      <c r="H139" s="79" t="str">
        <f>IF(ISNUMBER(G139),IF(ABS(G139)&lt;='前提'!$E$178,"一致","不一致"),IF(E139=F139,"一致","不一致"))</f>
        <v>一致</v>
      </c>
      <c r="I139" s="73" t="inlineStr">
        <is>
          <t>LTV・CAC C18</t>
        </is>
      </c>
    </row>
    <row r="140">
      <c r="A140" s="33" t="inlineStr">
        <is>
          <t>市場規模</t>
        </is>
      </c>
      <c r="B140" s="56" t="inlineStr">
        <is>
          <t>ターゲット市場</t>
        </is>
      </c>
      <c r="C140" s="17" t="n"/>
      <c r="D140" s="33" t="inlineStr">
        <is>
          <t>万円/年</t>
        </is>
      </c>
      <c r="E140" s="34">
        <f>'市場規模'!$F$13</f>
        <v>1410000</v>
      </c>
      <c r="F140" s="77" t="n">
        <v>1410000</v>
      </c>
      <c r="G140" s="78">
        <f>IF(AND(ISNUMBER(E140),ISNUMBER(F140)),E140-F140,"─")</f>
        <v>0</v>
      </c>
      <c r="H140" s="79" t="str">
        <f>IF(ISNUMBER(G140),IF(ABS(G140)&lt;='前提'!$E$178,"一致","不一致"),IF(E140=F140,"一致","不一致"))</f>
        <v>一致</v>
      </c>
      <c r="I140" s="73" t="inlineStr">
        <is>
          <t>市場規模 F13</t>
        </is>
      </c>
    </row>
    <row r="141">
      <c r="A141" s="33" t="inlineStr">
        <is>
          <t>市場規模</t>
        </is>
      </c>
      <c r="B141" s="56" t="inlineStr">
        <is>
          <t>全セルの合計</t>
        </is>
      </c>
      <c r="C141" s="17" t="n"/>
      <c r="D141" s="33" t="inlineStr">
        <is>
          <t>万円/年</t>
        </is>
      </c>
      <c r="E141" s="34">
        <f>'市場規模'!$F$12</f>
        <v>5280380</v>
      </c>
      <c r="F141" s="77" t="n">
        <v>5280380</v>
      </c>
      <c r="G141" s="78">
        <f>IF(AND(ISNUMBER(E141),ISNUMBER(F141)),E141-F141,"─")</f>
        <v>0</v>
      </c>
      <c r="H141" s="79" t="str">
        <f>IF(ISNUMBER(G141),IF(ABS(G141)&lt;='前提'!$E$178,"一致","不一致"),IF(E141=F141,"一致","不一致"))</f>
        <v>一致</v>
      </c>
      <c r="I141" s="73" t="inlineStr">
        <is>
          <t>市場規模 F12</t>
        </is>
      </c>
    </row>
    <row r="142">
      <c r="A142" s="33" t="inlineStr">
        <is>
          <t>市場規模</t>
        </is>
      </c>
      <c r="B142" s="56" t="inlineStr">
        <is>
          <t>ターゲットの社数</t>
        </is>
      </c>
      <c r="C142" s="17" t="n"/>
      <c r="D142" s="33" t="inlineStr">
        <is>
          <t>社</t>
        </is>
      </c>
      <c r="E142" s="34">
        <f>'市場規模'!$C$13</f>
        <v>3100</v>
      </c>
      <c r="F142" s="77" t="n">
        <v>3100</v>
      </c>
      <c r="G142" s="78">
        <f>IF(AND(ISNUMBER(E142),ISNUMBER(F142)),E142-F142,"─")</f>
        <v>0</v>
      </c>
      <c r="H142" s="79" t="str">
        <f>IF(ISNUMBER(G142),IF(ABS(G142)&lt;='前提'!$E$178,"一致","不一致"),IF(E142=F142,"一致","不一致"))</f>
        <v>一致</v>
      </c>
      <c r="I142" s="73" t="inlineStr">
        <is>
          <t>市場規模 C13</t>
        </is>
      </c>
    </row>
    <row r="143">
      <c r="A143" s="33" t="inlineStr">
        <is>
          <t>市場規模</t>
        </is>
      </c>
      <c r="B143" s="56" t="inlineStr">
        <is>
          <t>SOM の拠点</t>
        </is>
      </c>
      <c r="C143" s="17" t="n"/>
      <c r="D143" s="33" t="inlineStr">
        <is>
          <t>拠点</t>
        </is>
      </c>
      <c r="E143" s="40">
        <f>'市場規模'!$G$19</f>
        <v>87.9375</v>
      </c>
      <c r="F143" s="80" t="n">
        <v>87.9375</v>
      </c>
      <c r="G143" s="78">
        <f>IF(AND(ISNUMBER(E143),ISNUMBER(F143)),E143-F143,"─")</f>
        <v>0</v>
      </c>
      <c r="H143" s="79" t="str">
        <f>IF(ISNUMBER(G143),IF(ABS(G143)&lt;='前提'!$E$178,"一致","不一致"),IF(E143=F143,"一致","不一致"))</f>
        <v>一致</v>
      </c>
      <c r="I143" s="73" t="inlineStr">
        <is>
          <t>市場規模 G19</t>
        </is>
      </c>
    </row>
    <row r="144">
      <c r="A144" s="33" t="inlineStr">
        <is>
          <t>市場規模</t>
        </is>
      </c>
      <c r="B144" s="56" t="inlineStr">
        <is>
          <t>SOM の売上</t>
        </is>
      </c>
      <c r="C144" s="17" t="n"/>
      <c r="D144" s="33" t="inlineStr">
        <is>
          <t>万円/年</t>
        </is>
      </c>
      <c r="E144" s="34">
        <f>'市場規模'!$H$19</f>
        <v>26381.25</v>
      </c>
      <c r="F144" s="77" t="n">
        <v>26381.25</v>
      </c>
      <c r="G144" s="78">
        <f>IF(AND(ISNUMBER(E144),ISNUMBER(F144)),E144-F144,"─")</f>
        <v>0</v>
      </c>
      <c r="H144" s="79" t="str">
        <f>IF(ISNUMBER(G144),IF(ABS(G144)&lt;='前提'!$E$178,"一致","不一致"),IF(E144=F144,"一致","不一致"))</f>
        <v>一致</v>
      </c>
      <c r="I144" s="73" t="inlineStr">
        <is>
          <t>市場規模 H19</t>
        </is>
      </c>
    </row>
    <row r="145">
      <c r="A145" s="33" t="inlineStr">
        <is>
          <t>結果</t>
        </is>
      </c>
      <c r="B145" s="56" t="inlineStr">
        <is>
          <t>黒字化の年（5年で）</t>
        </is>
      </c>
      <c r="D145" s="33" t="inlineStr">
        <is>
          <t>年目</t>
        </is>
      </c>
      <c r="E145" s="61" t="str">
        <f>'損益と現金'!$C$35</f>
        <v>5年でなし</v>
      </c>
      <c r="F145" s="84" t="inlineStr">
        <is>
          <t>5年でなし</t>
        </is>
      </c>
      <c r="G145" s="49" t="str">
        <f>IF(AND(ISNUMBER(E145),ISNUMBER(F145)),E145-F145,"─")</f>
        <v>─</v>
      </c>
      <c r="H145" s="79" t="str">
        <f>IF(ISNUMBER(G145),IF(ABS(G145)&lt;='前提'!$E$178,"一致","不一致"),IF(E145=F145,"一致","不一致"))</f>
        <v>一致</v>
      </c>
      <c r="I145" s="73" t="inlineStr">
        <is>
          <t>損益と現金（tora_v2.js の run() は firstBlack＝null）</t>
        </is>
      </c>
    </row>
    <row r="147" ht="31" customHeight="1">
      <c r="A147" s="2" t="inlineStr">
        <is>
          <t>注：tora_v2.js の値は deck フォルダで node を実行して出した（V.H、V.customerValue()、V.unit()、V.team(10)、V.cogsSite()、V.marginSite()、V.run({years:10})、tora_market.js の estimate()）。差は Excel−JS。</t>
        </is>
      </c>
    </row>
  </sheetData>
  <mergeCells count="3">
    <mergeCell ref="B4:G4"/>
    <mergeCell ref="A2:I2"/>
    <mergeCell ref="A147:I147"/>
  </mergeCells>
  <conditionalFormatting sqref="H5:H147">
    <cfRule type="cellIs" priority="1" operator="equal" dxfId="2">
      <formula>"不一致"</formula>
    </cfRule>
    <cfRule type="cellIs" priority="2" operator="equal" dxfId="1">
      <formula>"一致"</formula>
    </cfRule>
  </conditionalFormatting>
  <conditionalFormatting sqref="E5:F147">
    <cfRule type="cellIs" priority="3" operator="lessThan" dxfId="0">
      <formula>0</formula>
    </cfRule>
  </conditionalFormatting>
  <printOptions horizontalCentered="1"/>
  <pageMargins left="0.4" right="0.4" top="0.75" bottom="0.6" header="0.3" footer="0.3"/>
  <pageSetup orientation="landscape" paperSize="9" fitToHeight="0" fitToWidth="1"/>
  <headerFooter>
    <oddHeader>&amp;L&amp;"BIZ UDPゴシック,Regular"&amp;8 カンツギ 計算詳細版 裏取り&amp;C&amp;"BIZ UDPゴシック,Bold"&amp;11 &amp;A</oddHeader>
    <oddFooter>&amp;C&amp;"BIZ UDPゴシック,Regular"&amp;8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2026-10-20T03:16:37Z</dcterms:created>
  <dcterms:modified xmlns:dcterms="http://purl.org/dc/terms/" xmlns:xsi="http://www.w3.org/2001/XMLSchema-instance" xsi:type="dcterms:W3CDTF">2026-10-20T03:16:37Z</dcterms:modified>
</cp:coreProperties>
</file>